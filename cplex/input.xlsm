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UAV_with_memory\"/>
    </mc:Choice>
  </mc:AlternateContent>
  <xr:revisionPtr revIDLastSave="0" documentId="13_ncr:1_{B1B7F7D6-C662-4C11-B40B-0B96682835E2}" xr6:coauthVersionLast="45" xr6:coauthVersionMax="46" xr10:uidLastSave="{00000000-0000-0000-0000-000000000000}"/>
  <bookViews>
    <workbookView xWindow="0" yWindow="1215" windowWidth="9000" windowHeight="11385" activeTab="1" xr2:uid="{988B01F2-0CCF-4D7F-A163-79C94FCF987B}"/>
  </bookViews>
  <sheets>
    <sheet name="Macro2" sheetId="5" r:id="rId1"/>
    <sheet name="Foglio1" sheetId="1" r:id="rId2"/>
  </sheets>
  <definedNames>
    <definedName name="alpha">Foglio1!$L$7</definedName>
    <definedName name="attivazione">Foglio1!$AQ$10:$AU$10</definedName>
    <definedName name="attivazione2">Foglio1!$AQ$11:$AU$11</definedName>
    <definedName name="betafs">Foglio1!$I$11:$M$18</definedName>
    <definedName name="cA">Foglio1!$L$3</definedName>
    <definedName name="cap">Foglio1!$J$4:$M$4</definedName>
    <definedName name="cap5Pr">Foglio1!$O$1:$S$1</definedName>
    <definedName name="capac2">Foglio1!$J$5:$M$8</definedName>
    <definedName name="capac25Pr">Foglio1!$J$5:$N$9</definedName>
    <definedName name="CapacityD">Foglio1!$AQ$2:$AQ$6</definedName>
    <definedName name="CapacityD1">Foglio1!$AP$2</definedName>
    <definedName name="CapacityD2">Foglio1!$AP$3</definedName>
    <definedName name="CapacityD3">Foglio1!$AP$4</definedName>
    <definedName name="CapacityD4">Foglio1!$AP$5</definedName>
    <definedName name="CapacityD5">Foglio1!$AP$6</definedName>
    <definedName name="CapacityLinks">Foglio1!$AS$2:$AW$6</definedName>
    <definedName name="chi">Foglio1!$B$15:$F$15</definedName>
    <definedName name="cI">Foglio1!$L$2</definedName>
    <definedName name="cL">Foglio1!$L$6</definedName>
    <definedName name="cP">Foglio1!$L$5</definedName>
    <definedName name="cs">Foglio1!$O$1:$S$1</definedName>
    <definedName name="cVM">Foglio1!$L$4</definedName>
    <definedName name="Delay">Foglio1!$AZ$2:$BD$2</definedName>
    <definedName name="Delay2">Foglio1!$AZ$3:$BD$3</definedName>
    <definedName name="Delay5">Foglio1!$AZ$3:$BD$7</definedName>
    <definedName name="EnergyConsumption">Foglio1!$AQ$13:$AU$13</definedName>
    <definedName name="f.o.m3">Foglio1!#REF!</definedName>
    <definedName name="f.o.m4">Foglio1!$B$7</definedName>
    <definedName name="f.o.m5">Foglio1!$B$9</definedName>
    <definedName name="f.o.p3">Foglio1!$B$4</definedName>
    <definedName name="f.o.p4">Foglio1!$B$6</definedName>
    <definedName name="f.o.p5">Foglio1!$B$8</definedName>
    <definedName name="FO">Foglio1!$B$1</definedName>
    <definedName name="foalpha">Foglio1!$AQ$27</definedName>
    <definedName name="fonalpha">Foglio1!$AQ$15</definedName>
    <definedName name="Fss">Foglio1!$O$2:$S$6</definedName>
    <definedName name="funct">Foglio1!$C$12</definedName>
    <definedName name="gamma">Foglio1!$W$19:$Y$23</definedName>
    <definedName name="gammaB">Foglio1!$AG$19:$AI$23</definedName>
    <definedName name="lambda">Foglio1!$W$18:$AA$18</definedName>
    <definedName name="lambdaB">Foglio1!$AG$18:$AK$18</definedName>
    <definedName name="Links">Foglio1!$AQ$14</definedName>
    <definedName name="Linkss">Foglio1!$BF$12:$BJ$16</definedName>
    <definedName name="Lungh">Foglio1!$B$11:$F$11</definedName>
    <definedName name="Lungh0">Foglio1!$C$11:$D$11</definedName>
    <definedName name="Memory">Foglio1!$Y$47:$AB$104</definedName>
    <definedName name="MemoryF">Foglio1!$AB$47:$AB$104</definedName>
    <definedName name="NumChains">Foglio1!$C$2</definedName>
    <definedName name="NumServers">Foglio1!$C$3</definedName>
    <definedName name="pas">Foglio1!$B$14:$F$14</definedName>
    <definedName name="pf">Foglio1!$V$1:$V$8</definedName>
    <definedName name="pfs">Foglio1!$V$1:$Z$8</definedName>
    <definedName name="pis">Foglio1!$B$13:$F$13</definedName>
    <definedName name="pos">Foglio1!$F$1:$J$8</definedName>
    <definedName name="PowerVM">Foglio1!$AX$10:$BB$17</definedName>
    <definedName name="PsiMu2">Foglio1!$BX$2:$FX$6</definedName>
    <definedName name="PsiMu3">Foglio1!$BI$2:$BW$6</definedName>
    <definedName name="pVM">Foglio1!$AI$2:$AM$9</definedName>
    <definedName name="ResultsX">Foglio1!$C$22:$F$121</definedName>
    <definedName name="resultsx1">Foglio1!$Q$5:$T$6</definedName>
    <definedName name="resultsx2">Foglio1!$Q$10:$R$12</definedName>
    <definedName name="resultsx3">Foglio1!$Q$16:$T$18</definedName>
    <definedName name="ResultsXf">Foglio1!$H$22:$K$221</definedName>
    <definedName name="ResultsY">Foglio1!$M$22:$Q$29</definedName>
    <definedName name="resultsy1">Foglio1!$D$22:$G$29</definedName>
    <definedName name="ResultsYk">Foglio1!$M$33:$Q$33</definedName>
    <definedName name="ResultsZ">Foglio1!$S$26:$W$26</definedName>
    <definedName name="ResultsZfs">Foglio1!$S$28:$W$35</definedName>
    <definedName name="resuly1">Foglio1!$D$22:$G$53</definedName>
    <definedName name="resuly3">Foglio1!$P$22:$S$69</definedName>
    <definedName name="resy1">Foglio1!$D$22:$G$52</definedName>
    <definedName name="resy2">Foglio1!$I$22:$M$69</definedName>
    <definedName name="resy3">Foglio1!$I$22:$M$69</definedName>
    <definedName name="Rmax">Foglio1!$W$17:$AA$17</definedName>
    <definedName name="Rprop">Foglio1!$W$11:$AA$15</definedName>
    <definedName name="sigma">Foglio1!$AC$2:$AG$9</definedName>
    <definedName name="Status">Foglio1!$C$5</definedName>
    <definedName name="trasm">Foglio1!$B$10</definedName>
    <definedName name="trasm3">Foglio1!$D$10</definedName>
    <definedName name="ultima">Foglio1!$C$1</definedName>
    <definedName name="ultima2">Foglio1!$AM$1</definedName>
    <definedName name="ultima3">Foglio1!$AM$2</definedName>
    <definedName name="ultima4">Foglio1!$AM$3</definedName>
    <definedName name="ultima5">Foglio1!$AM$4</definedName>
    <definedName name="Wei">Foglio1!$C$4:$F$4</definedName>
    <definedName name="Weig2">Foglio1!$C$5:$F$8</definedName>
    <definedName name="Weig25Pr">Foglio1!$C$5:$G$9</definedName>
    <definedName name="WeiPr5">Foglio1!$C$4:$G$4</definedName>
    <definedName name="wss">Foglio1!$P$11:$T$15</definedName>
    <definedName name="x15Pr">Foglio1!$V$6:$Z$7</definedName>
    <definedName name="x25Pr">Foglio1!$Z$11:$Z$14</definedName>
    <definedName name="xres5Pr">Foglio1!$V$22:$Y$91</definedName>
    <definedName name="YMemory">Foglio1!$Z$39:$AD$46</definedName>
    <definedName name="Zforzata">Foglio1!$Z$26:$AD$26</definedName>
    <definedName name="Zmemory">Foglio1!$Z$29:$AD$36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Q12" i="1" l="1"/>
  <c r="AQ24" i="1" s="1"/>
  <c r="AI13" i="1"/>
  <c r="P18" i="1"/>
  <c r="AI2" i="1" l="1"/>
  <c r="AJ2" i="1"/>
  <c r="AK2" i="1"/>
  <c r="AL2" i="1"/>
  <c r="AM2" i="1"/>
  <c r="AI3" i="1"/>
  <c r="AJ3" i="1"/>
  <c r="AK3" i="1"/>
  <c r="AL3" i="1"/>
  <c r="AM3" i="1"/>
  <c r="AI4" i="1"/>
  <c r="AJ4" i="1"/>
  <c r="AK4" i="1"/>
  <c r="AL4" i="1"/>
  <c r="AM4" i="1"/>
  <c r="AI5" i="1"/>
  <c r="AJ5" i="1"/>
  <c r="AK5" i="1"/>
  <c r="AL5" i="1"/>
  <c r="AM5" i="1"/>
  <c r="AI6" i="1"/>
  <c r="AJ6" i="1"/>
  <c r="AK6" i="1"/>
  <c r="AL6" i="1"/>
  <c r="AM6" i="1"/>
  <c r="AI7" i="1"/>
  <c r="AJ7" i="1"/>
  <c r="AK7" i="1"/>
  <c r="AL7" i="1"/>
  <c r="AM7" i="1"/>
  <c r="AI8" i="1"/>
  <c r="AJ8" i="1"/>
  <c r="AK8" i="1"/>
  <c r="AL8" i="1"/>
  <c r="AM8" i="1"/>
  <c r="AJ9" i="1"/>
  <c r="AK9" i="1"/>
  <c r="AL9" i="1"/>
  <c r="AM9" i="1"/>
  <c r="AI9" i="1"/>
  <c r="AQ26" i="1" l="1"/>
  <c r="AR25" i="1"/>
  <c r="AS25" i="1"/>
  <c r="AT25" i="1"/>
  <c r="AU25" i="1"/>
  <c r="AQ25" i="1"/>
  <c r="AR23" i="1"/>
  <c r="AS23" i="1"/>
  <c r="AT23" i="1"/>
  <c r="AU23" i="1"/>
  <c r="AQ23" i="1"/>
  <c r="AR22" i="1"/>
  <c r="AS22" i="1"/>
  <c r="AT22" i="1"/>
  <c r="AU22" i="1"/>
  <c r="AQ22" i="1"/>
  <c r="AR12" i="1" l="1"/>
  <c r="AS12" i="1"/>
  <c r="AS24" i="1" s="1"/>
  <c r="AT12" i="1"/>
  <c r="AT24" i="1" s="1"/>
  <c r="AU12" i="1"/>
  <c r="AU24" i="1" s="1"/>
  <c r="AR24" i="1" l="1"/>
  <c r="AP8" i="1" a="1"/>
  <c r="AP8" i="1" s="1"/>
  <c r="AQ19" i="1"/>
  <c r="AK18" i="1"/>
  <c r="AJ18" i="1"/>
  <c r="AI18" i="1"/>
  <c r="AH18" i="1"/>
  <c r="AG18" i="1"/>
  <c r="BG6" i="1" l="1"/>
  <c r="BG5" i="1"/>
  <c r="BG4" i="1"/>
  <c r="BG3" i="1"/>
  <c r="BG2" i="1"/>
  <c r="BD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<sst xmlns="http://schemas.openxmlformats.org/spreadsheetml/2006/main" count="206" uniqueCount="91">
  <si>
    <t>K=</t>
  </si>
  <si>
    <t>S=</t>
  </si>
  <si>
    <t>Lungh=</t>
  </si>
  <si>
    <t>Function=</t>
  </si>
  <si>
    <t>betafs=</t>
  </si>
  <si>
    <t>pos=</t>
  </si>
  <si>
    <t>Fss=</t>
  </si>
  <si>
    <t>Rprop=</t>
  </si>
  <si>
    <t>k</t>
  </si>
  <si>
    <t>i</t>
  </si>
  <si>
    <t>s</t>
  </si>
  <si>
    <t>x_{k_is}</t>
  </si>
  <si>
    <t>f</t>
  </si>
  <si>
    <t>y_{fs}</t>
  </si>
  <si>
    <t>z_s</t>
  </si>
  <si>
    <t>z_{fs}</t>
  </si>
  <si>
    <t>chi_s=</t>
  </si>
  <si>
    <t>gammaP=</t>
  </si>
  <si>
    <t>gammaB=</t>
  </si>
  <si>
    <t>size media</t>
  </si>
  <si>
    <t>w_{f_ks}</t>
  </si>
  <si>
    <t>c_ss=</t>
  </si>
  <si>
    <t>D=delay=</t>
  </si>
  <si>
    <t>f.o=</t>
  </si>
  <si>
    <t>Z_s=</t>
  </si>
  <si>
    <t>Capacità:</t>
  </si>
  <si>
    <t>D1</t>
  </si>
  <si>
    <t>D2</t>
  </si>
  <si>
    <t>D3</t>
  </si>
  <si>
    <t>D4</t>
  </si>
  <si>
    <t>D5</t>
  </si>
  <si>
    <t>Capacità Link:</t>
  </si>
  <si>
    <t>Delay:</t>
  </si>
  <si>
    <t>Chain1</t>
  </si>
  <si>
    <t>Chain2</t>
  </si>
  <si>
    <t>Chain3</t>
  </si>
  <si>
    <t>Chain4</t>
  </si>
  <si>
    <t>Chain5</t>
  </si>
  <si>
    <t>VINCOLI</t>
  </si>
  <si>
    <t>FUNZIONE OBIETTIVO</t>
  </si>
  <si>
    <t>Energy Consumption</t>
  </si>
  <si>
    <t>link</t>
  </si>
  <si>
    <t>F1</t>
  </si>
  <si>
    <t>F2</t>
  </si>
  <si>
    <t>F3</t>
  </si>
  <si>
    <t>F4</t>
  </si>
  <si>
    <t>F5</t>
  </si>
  <si>
    <t>F6</t>
  </si>
  <si>
    <t>F7</t>
  </si>
  <si>
    <t>F8</t>
  </si>
  <si>
    <t>Z_{fs}</t>
  </si>
  <si>
    <t>Y_{fs}</t>
  </si>
  <si>
    <t>Linkss</t>
  </si>
  <si>
    <t>PsiMu</t>
  </si>
  <si>
    <t>PowerVM</t>
  </si>
  <si>
    <t>pis [W]=</t>
  </si>
  <si>
    <t>pas [W]=</t>
  </si>
  <si>
    <t>C</t>
  </si>
  <si>
    <t>&gt;</t>
  </si>
  <si>
    <t>C [operazioni/s]=</t>
  </si>
  <si>
    <t>lambdaP [pacchetti/s]=</t>
  </si>
  <si>
    <t>lambdaB [Mbps]=</t>
  </si>
  <si>
    <t>Rmax [s]=</t>
  </si>
  <si>
    <t>pVM_fs [W]=</t>
  </si>
  <si>
    <t>pfs [W/pacchetto]=</t>
  </si>
  <si>
    <t>sigma_fs [operazioni/pacchetto]=</t>
  </si>
  <si>
    <t>cI=</t>
  </si>
  <si>
    <t>cA=</t>
  </si>
  <si>
    <t>cVM=</t>
  </si>
  <si>
    <t>cP=</t>
  </si>
  <si>
    <t>cL=</t>
  </si>
  <si>
    <t>p^I</t>
  </si>
  <si>
    <t xml:space="preserve"> + p^A</t>
  </si>
  <si>
    <t xml:space="preserve"> + p^VM_s</t>
  </si>
  <si>
    <t>Funzione Obiettivo</t>
  </si>
  <si>
    <t>frazionata da c:</t>
  </si>
  <si>
    <t>i=</t>
  </si>
  <si>
    <t>k=</t>
  </si>
  <si>
    <t>Status:</t>
  </si>
  <si>
    <r>
      <t>Private</t>
    </r>
    <r>
      <rPr>
        <sz val="10"/>
        <color rgb="FF0A0101"/>
        <rFont val="Consolas"/>
        <family val="3"/>
      </rPr>
      <t xml:space="preserve"> </t>
    </r>
    <r>
      <rPr>
        <b/>
        <sz val="11"/>
        <color rgb="FF006699"/>
        <rFont val="Consolas"/>
        <family val="3"/>
      </rPr>
      <t>Sub</t>
    </r>
    <r>
      <rPr>
        <sz val="10"/>
        <color rgb="FF0A0101"/>
        <rFont val="Consolas"/>
        <family val="3"/>
      </rPr>
      <t xml:space="preserve"> </t>
    </r>
    <r>
      <rPr>
        <sz val="11"/>
        <color rgb="FF000000"/>
        <rFont val="Consolas"/>
        <family val="3"/>
      </rPr>
      <t>Workbook_BeforeClose(Cancel </t>
    </r>
    <r>
      <rPr>
        <b/>
        <sz val="11"/>
        <color rgb="FF006699"/>
        <rFont val="Consolas"/>
        <family val="3"/>
      </rPr>
      <t>As</t>
    </r>
    <r>
      <rPr>
        <sz val="10"/>
        <color rgb="FF0A0101"/>
        <rFont val="Consolas"/>
        <family val="3"/>
      </rPr>
      <t xml:space="preserve"> </t>
    </r>
    <r>
      <rPr>
        <b/>
        <sz val="11"/>
        <color rgb="FF006699"/>
        <rFont val="Consolas"/>
        <family val="3"/>
      </rPr>
      <t>Boolean</t>
    </r>
    <r>
      <rPr>
        <sz val="11"/>
        <color rgb="FF000000"/>
        <rFont val="Consolas"/>
        <family val="3"/>
      </rPr>
      <t>)</t>
    </r>
  </si>
  <si>
    <t>'Updated by Extendoffice 20190712</t>
  </si>
  <si>
    <r>
      <t>    </t>
    </r>
    <r>
      <rPr>
        <sz val="11"/>
        <color rgb="FF000000"/>
        <rFont val="Consolas"/>
        <family val="3"/>
      </rPr>
      <t>Worksheets(</t>
    </r>
    <r>
      <rPr>
        <sz val="11"/>
        <color rgb="FF0000FF"/>
        <rFont val="Consolas"/>
        <family val="3"/>
      </rPr>
      <t>"VNFNEW1"</t>
    </r>
    <r>
      <rPr>
        <sz val="11"/>
        <color rgb="FF000000"/>
        <rFont val="Consolas"/>
        <family val="3"/>
      </rPr>
      <t>).Range(</t>
    </r>
    <r>
      <rPr>
        <sz val="11"/>
        <color rgb="FF0000FF"/>
        <rFont val="Consolas"/>
        <family val="3"/>
      </rPr>
      <t>"C5"</t>
    </r>
    <r>
      <rPr>
        <sz val="11"/>
        <color rgb="FF000000"/>
        <rFont val="Consolas"/>
        <family val="3"/>
      </rPr>
      <t>).Value = </t>
    </r>
    <r>
      <rPr>
        <sz val="11"/>
        <color rgb="FF0000FF"/>
        <rFont val="Consolas"/>
        <family val="3"/>
      </rPr>
      <t>""</t>
    </r>
  </si>
  <si>
    <t>ThisWorkbook.Save</t>
  </si>
  <si>
    <t>alpha=</t>
  </si>
  <si>
    <t>Chain1:</t>
  </si>
  <si>
    <t>Chain2:</t>
  </si>
  <si>
    <t>Chain3:</t>
  </si>
  <si>
    <t>Chain4:</t>
  </si>
  <si>
    <t>Chain5:</t>
  </si>
  <si>
    <t>y_k (Chain eseguita o meno:)</t>
  </si>
  <si>
    <t>flusso chain eseguite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</si>
</sst>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0"/>
      <color rgb="FF0A0101"/>
      <name val="Consolas"/>
      <family val="3"/>
    </font>
    <font>
      <b/>
      <sz val="11"/>
      <color rgb="FF006699"/>
      <name val="Consolas"/>
      <family val="3"/>
    </font>
    <font>
      <sz val="11"/>
      <color rgb="FF000000"/>
      <name val="Consolas"/>
      <family val="3"/>
    </font>
    <font>
      <sz val="11"/>
      <color rgb="FF008200"/>
      <name val="Consolas"/>
      <family val="3"/>
    </font>
    <font>
      <sz val="11"/>
      <color rgb="FFDD0055"/>
      <name val="Consolas"/>
      <family val="3"/>
    </font>
    <font>
      <sz val="11"/>
      <color rgb="FF0000FF"/>
      <name val="Consolas"/>
      <family val="3"/>
    </font>
    <font>
      <sz val="8.5"/>
      <color rgb="FF191E1E"/>
      <name val="Ubuntu Mono"/>
      <family val="3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0" borderId="0" xfId="0" applyFill="1"/>
    <xf numFmtId="0" fontId="0" fillId="0" borderId="0" xfId="0" applyFill="1" applyAlignment="1">
      <alignment horizontal="right"/>
    </xf>
    <xf numFmtId="0" fontId="1" fillId="0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applyFill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right"/>
    </xf>
    <xf numFmtId="0" fontId="0" fillId="5" borderId="1" xfId="0" applyFill="1" applyBorder="1"/>
    <xf numFmtId="0" fontId="0" fillId="6" borderId="0" xfId="0" applyFill="1" applyAlignment="1">
      <alignment horizontal="right"/>
    </xf>
    <xf numFmtId="0" fontId="0" fillId="7" borderId="0" xfId="0" applyFill="1"/>
    <xf numFmtId="0" fontId="0" fillId="8" borderId="0" xfId="0" applyFill="1"/>
    <xf numFmtId="0" fontId="0" fillId="7" borderId="0" xfId="0" applyFill="1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2" fontId="0" fillId="0" borderId="0" xfId="0" applyNumberFormat="1" applyFill="1" applyBorder="1" applyAlignment="1">
      <alignment horizontal="center"/>
    </xf>
    <xf numFmtId="11" fontId="0" fillId="0" borderId="0" xfId="0" applyNumberFormat="1"/>
    <xf numFmtId="0" fontId="0" fillId="7" borderId="1" xfId="0" applyFill="1" applyBorder="1" applyAlignment="1">
      <alignment horizontal="right" wrapText="1"/>
    </xf>
    <xf numFmtId="0" fontId="0" fillId="7" borderId="1" xfId="0" applyFill="1" applyBorder="1" applyAlignment="1">
      <alignment horizontal="right"/>
    </xf>
    <xf numFmtId="0" fontId="0" fillId="7" borderId="0" xfId="0" applyFill="1" applyAlignment="1">
      <alignment wrapText="1"/>
    </xf>
    <xf numFmtId="2" fontId="3" fillId="0" borderId="0" xfId="0" applyNumberFormat="1" applyFont="1" applyAlignment="1">
      <alignment horizontal="center"/>
    </xf>
    <xf numFmtId="0" fontId="1" fillId="0" borderId="0" xfId="0" applyFont="1" applyFill="1" applyBorder="1" applyAlignment="1">
      <alignment horizontal="center" vertical="center" wrapText="1"/>
    </xf>
    <xf numFmtId="0" fontId="0" fillId="9" borderId="0" xfId="0" applyFill="1"/>
    <xf numFmtId="0" fontId="0" fillId="0" borderId="0" xfId="0" applyAlignment="1">
      <alignment horizontal="left"/>
    </xf>
    <xf numFmtId="0" fontId="0" fillId="10" borderId="0" xfId="0" applyFill="1"/>
    <xf numFmtId="0" fontId="0" fillId="9" borderId="1" xfId="0" applyFill="1" applyBorder="1"/>
    <xf numFmtId="0" fontId="0" fillId="0" borderId="1" xfId="0" applyFill="1" applyBorder="1"/>
    <xf numFmtId="0" fontId="0" fillId="11" borderId="1" xfId="0" applyFill="1" applyBorder="1"/>
    <xf numFmtId="0" fontId="0" fillId="9" borderId="0" xfId="0" applyFill="1" applyAlignment="1">
      <alignment horizontal="center" vertical="center"/>
    </xf>
    <xf numFmtId="0" fontId="0" fillId="0" borderId="1" xfId="0" applyBorder="1" applyAlignment="1">
      <alignment wrapText="1"/>
    </xf>
    <xf numFmtId="0" fontId="1" fillId="12" borderId="0" xfId="0" applyFont="1" applyFill="1" applyAlignment="1">
      <alignment horizontal="right" wrapText="1"/>
    </xf>
    <xf numFmtId="0" fontId="1" fillId="12" borderId="0" xfId="0" applyFont="1" applyFill="1" applyAlignment="1">
      <alignment wrapText="1"/>
    </xf>
    <xf numFmtId="0" fontId="0" fillId="9" borderId="0" xfId="0" applyFill="1" applyAlignment="1">
      <alignment horizontal="center"/>
    </xf>
    <xf numFmtId="0" fontId="3" fillId="9" borderId="0" xfId="0" applyFont="1" applyFill="1"/>
    <xf numFmtId="0" fontId="5" fillId="0" borderId="0" xfId="0" applyFont="1" applyAlignment="1">
      <alignment horizontal="left" vertical="center" indent="1"/>
    </xf>
    <xf numFmtId="0" fontId="7" fillId="0" borderId="0" xfId="0" applyFont="1" applyAlignment="1">
      <alignment horizontal="left" vertical="center" indent="1"/>
    </xf>
    <xf numFmtId="0" fontId="8" fillId="0" borderId="0" xfId="0" applyFont="1" applyAlignment="1">
      <alignment horizontal="left" vertical="center" indent="1"/>
    </xf>
    <xf numFmtId="0" fontId="10" fillId="0" borderId="0" xfId="0" applyFont="1" applyAlignment="1">
      <alignment vertical="center"/>
    </xf>
    <xf numFmtId="0" fontId="0" fillId="13" borderId="0" xfId="0" applyFill="1"/>
    <xf numFmtId="0" fontId="3" fillId="6" borderId="0" xfId="0" applyFont="1" applyFill="1"/>
    <xf numFmtId="0" fontId="1" fillId="14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CC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1DF123D-6BD0-41C8-9C09-674896F021BB}">
  <dimension ref="A1:A4"/>
  <sheetViews>
    <sheetView showFormulas="1" workbookViewId="0">
      <selection activeCell="A5" sqref="A5"/>
    </sheetView>
  </sheetViews>
  <sheetFormatPr defaultRowHeight="15"/>
  <sheetData>
    <row r="1" spans="1:1">
      <c r="A1" s="47" t="s">
        <v>79</v>
      </c>
    </row>
    <row r="2" spans="1:1">
      <c r="A2" s="48" t="s">
        <v>80</v>
      </c>
    </row>
    <row r="3" spans="1:1">
      <c r="A3" s="49" t="s">
        <v>81</v>
      </c>
    </row>
    <row r="4" spans="1:1">
      <c r="A4" s="50" t="s">
        <v>82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4B0D9-0FE3-4AEF-9441-34D40020C0EA}">
  <sheetPr codeName="Foglio1"/>
  <dimension ref="A1:FX221"/>
  <sheetViews>
    <sheetView tabSelected="1" topLeftCell="V7" zoomScale="90" zoomScaleNormal="90" workbookViewId="0">
      <selection activeCell="Z39" sqref="Z39:AD46"/>
    </sheetView>
  </sheetViews>
  <sheetFormatPr defaultRowHeight="15"/>
  <cols>
    <col min="15" max="15" width="10" bestFit="1" customWidth="1"/>
    <col min="19" max="19" width="10" bestFit="1" customWidth="1"/>
    <col min="23" max="23" width="12" bestFit="1" customWidth="1"/>
    <col min="59" max="59" width="10" bestFit="1" customWidth="1"/>
  </cols>
  <sheetData>
    <row r="1" spans="1:180" ht="60">
      <c r="A1" s="1" t="s">
        <v>23</v>
      </c>
      <c r="B1">
        <v>-8395.5843735042472</v>
      </c>
      <c r="C1" s="2"/>
      <c r="E1" s="19" t="s">
        <v>5</v>
      </c>
      <c r="F1" s="2">
        <v>1</v>
      </c>
      <c r="G1" s="2">
        <v>0</v>
      </c>
      <c r="H1" s="2">
        <v>2</v>
      </c>
      <c r="I1" s="2">
        <v>0</v>
      </c>
      <c r="J1" s="2">
        <v>0</v>
      </c>
      <c r="N1" s="43" t="s">
        <v>59</v>
      </c>
      <c r="O1" s="41">
        <v>8318143680</v>
      </c>
      <c r="P1" s="41">
        <v>8318143680</v>
      </c>
      <c r="Q1" s="41">
        <v>8318143680</v>
      </c>
      <c r="R1" s="41">
        <v>8318143680</v>
      </c>
      <c r="S1" s="41">
        <v>8318143680</v>
      </c>
      <c r="U1" s="43" t="s">
        <v>64</v>
      </c>
      <c r="V1" s="39">
        <v>7.0423684652585056E-3</v>
      </c>
      <c r="W1" s="12">
        <v>7.0423684652585056E-3</v>
      </c>
      <c r="X1" s="12">
        <v>7.0423684652585056E-3</v>
      </c>
      <c r="Y1" s="12">
        <v>7.0423684652585056E-3</v>
      </c>
      <c r="Z1" s="38">
        <v>1.2439489917210652E-3</v>
      </c>
      <c r="AB1" s="44" t="s">
        <v>65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32" t="s">
        <v>63</v>
      </c>
      <c r="AI1" s="5" t="s">
        <v>26</v>
      </c>
      <c r="AJ1" s="5" t="s">
        <v>27</v>
      </c>
      <c r="AK1" s="5" t="s">
        <v>28</v>
      </c>
      <c r="AL1" s="5" t="s">
        <v>29</v>
      </c>
      <c r="AM1" s="5" t="s">
        <v>30</v>
      </c>
      <c r="AN1" s="9" t="s">
        <v>38</v>
      </c>
      <c r="AO1" t="s">
        <v>25</v>
      </c>
      <c r="AR1" s="42" t="s">
        <v>31</v>
      </c>
      <c r="AS1" s="13" t="s">
        <v>26</v>
      </c>
      <c r="AT1" s="13" t="s">
        <v>27</v>
      </c>
      <c r="AU1" s="13" t="s">
        <v>28</v>
      </c>
      <c r="AV1" s="13" t="s">
        <v>29</v>
      </c>
      <c r="AW1" s="13" t="s">
        <v>30</v>
      </c>
      <c r="AY1" t="s">
        <v>32</v>
      </c>
      <c r="AZ1" t="s">
        <v>33</v>
      </c>
      <c r="BA1" t="s">
        <v>34</v>
      </c>
      <c r="BB1" t="s">
        <v>35</v>
      </c>
      <c r="BC1" t="s">
        <v>36</v>
      </c>
      <c r="BD1" t="s">
        <v>37</v>
      </c>
      <c r="BG1" t="s">
        <v>57</v>
      </c>
      <c r="BH1" s="5" t="s">
        <v>58</v>
      </c>
      <c r="BI1" t="s">
        <v>53</v>
      </c>
    </row>
    <row r="2" spans="1:180">
      <c r="B2" s="19" t="s">
        <v>0</v>
      </c>
      <c r="C2" s="2">
        <v>5</v>
      </c>
      <c r="E2" s="2"/>
      <c r="F2" s="2">
        <v>2</v>
      </c>
      <c r="G2" s="2">
        <v>3</v>
      </c>
      <c r="H2" s="2">
        <v>0</v>
      </c>
      <c r="I2" s="2">
        <v>0</v>
      </c>
      <c r="J2" s="2">
        <v>0</v>
      </c>
      <c r="K2" s="1" t="s">
        <v>66</v>
      </c>
      <c r="L2" s="36">
        <v>0.5</v>
      </c>
      <c r="N2" s="1" t="s">
        <v>6</v>
      </c>
      <c r="O2" s="29">
        <v>1000000000</v>
      </c>
      <c r="P2" s="29">
        <v>1000000000</v>
      </c>
      <c r="Q2" s="29">
        <v>1000000000</v>
      </c>
      <c r="R2" s="29">
        <v>1000000000</v>
      </c>
      <c r="S2" s="29">
        <v>1000000000</v>
      </c>
      <c r="V2" s="39">
        <v>5.2426520796924423E-3</v>
      </c>
      <c r="W2" s="12">
        <v>5.2426520796924423E-3</v>
      </c>
      <c r="X2" s="12">
        <v>5.2426520796924423E-3</v>
      </c>
      <c r="Y2" s="38">
        <v>4.662810132338698E-3</v>
      </c>
      <c r="Z2" s="12">
        <v>5.2426520796924423E-3</v>
      </c>
      <c r="AB2" s="1" t="s">
        <v>42</v>
      </c>
      <c r="AC2" s="20">
        <v>53279.999918012487</v>
      </c>
      <c r="AD2" s="20">
        <v>53279.999918012487</v>
      </c>
      <c r="AE2" s="20">
        <v>53279.999918012487</v>
      </c>
      <c r="AF2" s="20">
        <v>53279.999918012487</v>
      </c>
      <c r="AG2" s="20">
        <v>9411.2658978114396</v>
      </c>
      <c r="AH2" s="1" t="s">
        <v>42</v>
      </c>
      <c r="AI2" s="33">
        <f t="shared" ref="AI2:AI8" si="0">AG30*$AI$13</f>
        <v>8.6257943925233622</v>
      </c>
      <c r="AJ2" s="33">
        <f t="shared" ref="AJ2:AJ8" si="1">AH30*$AI$13</f>
        <v>8.6257943925233622</v>
      </c>
      <c r="AK2" s="33">
        <f t="shared" ref="AK2:AK8" si="2">AI30*$AI$13</f>
        <v>8.6257943925233622</v>
      </c>
      <c r="AL2" s="33">
        <f t="shared" ref="AL2:AL8" si="3">AJ30*$AI$13</f>
        <v>8.6257943925233622</v>
      </c>
      <c r="AM2" s="33">
        <f t="shared" ref="AM2:AM8" si="4">AK30*$AI$13</f>
        <v>8.6257943925233622</v>
      </c>
      <c r="AO2" s="1" t="s">
        <v>26</v>
      </c>
      <c r="AP2" s="9">
        <v>477694288.70686358</v>
      </c>
      <c r="AQ2">
        <v>477694288.70686358</v>
      </c>
      <c r="AR2" s="14" t="s">
        <v>26</v>
      </c>
      <c r="AS2" s="15">
        <v>0</v>
      </c>
      <c r="AT2" s="15">
        <v>238.32093749400002</v>
      </c>
      <c r="AU2" s="15">
        <v>0</v>
      </c>
      <c r="AV2" s="15">
        <v>0</v>
      </c>
      <c r="AW2" s="15">
        <v>0</v>
      </c>
      <c r="AZ2" s="9">
        <v>4.0451876838578799E-5</v>
      </c>
      <c r="BA2" s="9">
        <v>1.4066885012038198E-5</v>
      </c>
      <c r="BB2" s="9">
        <v>2.9158481577425772E-5</v>
      </c>
      <c r="BC2" s="9">
        <v>5.9005138408121503E-6</v>
      </c>
      <c r="BD2" s="9">
        <v>1.5669898521125093E-5</v>
      </c>
      <c r="BF2" t="s">
        <v>26</v>
      </c>
      <c r="BG2" s="18">
        <f>O1</f>
        <v>8318143680</v>
      </c>
      <c r="BH2" s="5" t="s">
        <v>58</v>
      </c>
      <c r="BI2" s="18">
        <v>0</v>
      </c>
      <c r="BJ2" s="18">
        <v>0</v>
      </c>
      <c r="BK2" s="18">
        <v>0</v>
      </c>
      <c r="BL2" s="18">
        <v>0</v>
      </c>
      <c r="BM2" s="18">
        <v>0</v>
      </c>
      <c r="BN2" s="18">
        <v>0</v>
      </c>
      <c r="BO2" s="18">
        <v>0</v>
      </c>
      <c r="BP2" s="18">
        <v>0</v>
      </c>
      <c r="BQ2" s="18">
        <v>0</v>
      </c>
      <c r="BR2" s="18">
        <v>477694289</v>
      </c>
      <c r="BS2" s="18">
        <v>0</v>
      </c>
      <c r="BT2" s="18">
        <v>0</v>
      </c>
      <c r="BU2" s="18">
        <v>0</v>
      </c>
      <c r="BV2" s="18">
        <v>0</v>
      </c>
      <c r="BW2" s="18">
        <v>0</v>
      </c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</row>
    <row r="3" spans="1:180">
      <c r="B3" s="19" t="s">
        <v>1</v>
      </c>
      <c r="C3" s="2">
        <v>5</v>
      </c>
      <c r="E3" s="2"/>
      <c r="F3" s="2">
        <v>3</v>
      </c>
      <c r="G3" s="2">
        <v>0</v>
      </c>
      <c r="H3" s="2">
        <v>0</v>
      </c>
      <c r="I3" s="2">
        <v>0</v>
      </c>
      <c r="J3" s="2">
        <v>2</v>
      </c>
      <c r="K3" s="1" t="s">
        <v>67</v>
      </c>
      <c r="L3" s="36">
        <v>0.5</v>
      </c>
      <c r="O3" s="29">
        <v>1000000000</v>
      </c>
      <c r="P3" s="29">
        <v>1000000000</v>
      </c>
      <c r="Q3" s="29">
        <v>1000000000</v>
      </c>
      <c r="R3" s="29">
        <v>1000000000</v>
      </c>
      <c r="S3" s="29">
        <v>1000000000</v>
      </c>
      <c r="V3" s="39">
        <v>9.6293609627004055E-3</v>
      </c>
      <c r="W3" s="12">
        <v>9.6293609627004055E-3</v>
      </c>
      <c r="X3" s="38">
        <v>3.8309414891629511E-3</v>
      </c>
      <c r="Y3" s="12">
        <v>9.6293609627004055E-3</v>
      </c>
      <c r="Z3" s="12">
        <v>9.6293609627004055E-3</v>
      </c>
      <c r="AB3" s="1" t="s">
        <v>43</v>
      </c>
      <c r="AC3" s="20">
        <v>39663.999938964844</v>
      </c>
      <c r="AD3" s="20">
        <v>39663.999938964844</v>
      </c>
      <c r="AE3" s="20">
        <v>39663.999938964844</v>
      </c>
      <c r="AF3" s="20">
        <v>35277.126536944736</v>
      </c>
      <c r="AG3" s="20">
        <v>39663.999938964844</v>
      </c>
      <c r="AH3" s="1" t="s">
        <v>43</v>
      </c>
      <c r="AI3" s="33">
        <f t="shared" si="0"/>
        <v>10.782242990654204</v>
      </c>
      <c r="AJ3" s="33">
        <f t="shared" si="1"/>
        <v>10.782242990654204</v>
      </c>
      <c r="AK3" s="33">
        <f t="shared" si="2"/>
        <v>10.782242990654204</v>
      </c>
      <c r="AL3" s="33">
        <f t="shared" si="3"/>
        <v>10.782242990654204</v>
      </c>
      <c r="AM3" s="33">
        <f t="shared" si="4"/>
        <v>10.782242990654204</v>
      </c>
      <c r="AO3" s="1" t="s">
        <v>27</v>
      </c>
      <c r="AP3" s="9">
        <v>418852017.85722661</v>
      </c>
      <c r="AQ3">
        <v>418852017.85722661</v>
      </c>
      <c r="AR3" s="14" t="s">
        <v>27</v>
      </c>
      <c r="AS3" s="15">
        <v>0</v>
      </c>
      <c r="AT3" s="15">
        <v>422.62301180580005</v>
      </c>
      <c r="AU3" s="15">
        <v>0</v>
      </c>
      <c r="AV3" s="15">
        <v>378.51107061899995</v>
      </c>
      <c r="AW3" s="15">
        <v>0</v>
      </c>
      <c r="AY3" t="s">
        <v>26</v>
      </c>
      <c r="AZ3" s="35">
        <v>3.3653573214904327E-4</v>
      </c>
      <c r="BA3" s="35">
        <v>-3.2973577440562941E-4</v>
      </c>
      <c r="BB3" s="35">
        <v>4.0654672063037234E-5</v>
      </c>
      <c r="BC3" s="35">
        <v>6.5735121782319723E-5</v>
      </c>
      <c r="BD3" s="35">
        <v>5.9809700228520633E-4</v>
      </c>
      <c r="BF3" t="s">
        <v>27</v>
      </c>
      <c r="BG3" s="18">
        <f>P1</f>
        <v>8318143680</v>
      </c>
      <c r="BH3" s="5" t="s">
        <v>58</v>
      </c>
      <c r="BI3" s="18">
        <v>0</v>
      </c>
      <c r="BJ3" s="18">
        <v>0</v>
      </c>
      <c r="BK3" s="18">
        <v>0</v>
      </c>
      <c r="BL3" s="18">
        <v>684118275</v>
      </c>
      <c r="BM3" s="18">
        <v>114983029</v>
      </c>
      <c r="BN3" s="18">
        <v>0</v>
      </c>
      <c r="BO3" s="18">
        <v>457454751</v>
      </c>
      <c r="BP3" s="18">
        <v>0</v>
      </c>
      <c r="BQ3" s="18">
        <v>0</v>
      </c>
      <c r="BR3" s="18">
        <v>0</v>
      </c>
      <c r="BS3" s="18">
        <v>114983029</v>
      </c>
      <c r="BT3" s="18">
        <v>457454751</v>
      </c>
      <c r="BU3" s="18">
        <v>0</v>
      </c>
      <c r="BV3" s="18">
        <v>0</v>
      </c>
      <c r="BW3" s="18">
        <v>684118275</v>
      </c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</row>
    <row r="4" spans="1:180">
      <c r="A4" s="1"/>
      <c r="B4" s="1"/>
      <c r="E4" s="2"/>
      <c r="F4" s="2">
        <v>0</v>
      </c>
      <c r="G4" s="2">
        <v>1</v>
      </c>
      <c r="H4" s="2">
        <v>0</v>
      </c>
      <c r="I4" s="2">
        <v>0</v>
      </c>
      <c r="J4" s="2">
        <v>3</v>
      </c>
      <c r="K4" s="1" t="s">
        <v>68</v>
      </c>
      <c r="L4" s="36">
        <v>0.5</v>
      </c>
      <c r="O4" s="29">
        <v>1000000000</v>
      </c>
      <c r="P4" s="29">
        <v>1000000000</v>
      </c>
      <c r="Q4" s="29">
        <v>1000000000</v>
      </c>
      <c r="R4" s="29">
        <v>1000000000</v>
      </c>
      <c r="S4" s="29">
        <v>1000000000</v>
      </c>
      <c r="V4" s="39">
        <v>6.5533150996155533E-3</v>
      </c>
      <c r="W4" s="38">
        <v>7.5489562607810245E-4</v>
      </c>
      <c r="X4" s="40">
        <v>3.6541053628468198E-3</v>
      </c>
      <c r="Y4" s="12">
        <v>6.5533150996155533E-3</v>
      </c>
      <c r="Z4" s="12">
        <v>6.5533150996155533E-3</v>
      </c>
      <c r="AB4" s="1" t="s">
        <v>44</v>
      </c>
      <c r="AC4" s="20">
        <v>72852.244785853807</v>
      </c>
      <c r="AD4" s="20">
        <v>72852.244785853807</v>
      </c>
      <c r="AE4" s="20">
        <v>28983.510765652652</v>
      </c>
      <c r="AF4" s="20">
        <v>72852.244785853807</v>
      </c>
      <c r="AG4" s="20">
        <v>72852.244785853807</v>
      </c>
      <c r="AH4" s="1" t="s">
        <v>44</v>
      </c>
      <c r="AI4" s="33">
        <f t="shared" si="0"/>
        <v>1.2211214953271026</v>
      </c>
      <c r="AJ4" s="33">
        <f t="shared" si="1"/>
        <v>1.2211214953271026</v>
      </c>
      <c r="AK4" s="33">
        <f t="shared" si="2"/>
        <v>1.2211214953271026</v>
      </c>
      <c r="AL4" s="33">
        <f t="shared" si="3"/>
        <v>1.2211214953271026</v>
      </c>
      <c r="AM4" s="33">
        <f t="shared" si="4"/>
        <v>1.2211214953271026</v>
      </c>
      <c r="AO4" s="1" t="s">
        <v>28</v>
      </c>
      <c r="AP4" s="9">
        <v>680241477.916008</v>
      </c>
      <c r="AQ4">
        <v>680241477.916008</v>
      </c>
      <c r="AR4" s="14" t="s">
        <v>28</v>
      </c>
      <c r="AS4" s="15">
        <v>0</v>
      </c>
      <c r="AT4" s="15">
        <v>58.593753599999999</v>
      </c>
      <c r="AU4" s="15">
        <v>48.828128</v>
      </c>
      <c r="AV4" s="15">
        <v>0</v>
      </c>
      <c r="AW4" s="15">
        <v>0</v>
      </c>
      <c r="AY4" t="s">
        <v>27</v>
      </c>
      <c r="AZ4" s="45">
        <v>3.3653573214904327E-4</v>
      </c>
      <c r="BA4" s="45">
        <v>-1.8905453050901589E-4</v>
      </c>
      <c r="BB4" s="45">
        <v>5.2927385282762409E-4</v>
      </c>
      <c r="BC4" s="45">
        <v>-3.5137021747756584E-4</v>
      </c>
      <c r="BD4" s="45">
        <v>1.2371638576191093E-3</v>
      </c>
      <c r="BF4" t="s">
        <v>28</v>
      </c>
      <c r="BG4" s="18">
        <f>Q1</f>
        <v>8318143680</v>
      </c>
      <c r="BH4" s="5" t="s">
        <v>58</v>
      </c>
      <c r="BI4" s="18">
        <v>0</v>
      </c>
      <c r="BJ4" s="18">
        <v>0</v>
      </c>
      <c r="BK4" s="18">
        <v>733862493</v>
      </c>
      <c r="BL4" s="18">
        <v>0</v>
      </c>
      <c r="BM4" s="18">
        <v>0</v>
      </c>
      <c r="BN4" s="18">
        <v>0</v>
      </c>
      <c r="BO4" s="18">
        <v>0</v>
      </c>
      <c r="BP4" s="18">
        <v>0</v>
      </c>
      <c r="BQ4" s="18">
        <v>626620464</v>
      </c>
      <c r="BR4" s="18">
        <v>0</v>
      </c>
      <c r="BS4" s="18">
        <v>0</v>
      </c>
      <c r="BT4" s="18">
        <v>0</v>
      </c>
      <c r="BU4" s="18">
        <v>626620464</v>
      </c>
      <c r="BV4" s="18">
        <v>733862493</v>
      </c>
      <c r="BW4" s="18">
        <v>0</v>
      </c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</row>
    <row r="5" spans="1:180">
      <c r="B5" s="1" t="s">
        <v>78</v>
      </c>
      <c r="C5" s="35">
        <v>1</v>
      </c>
      <c r="E5" s="2"/>
      <c r="F5" s="2">
        <v>0</v>
      </c>
      <c r="G5" s="2">
        <v>2</v>
      </c>
      <c r="H5" s="2">
        <v>0</v>
      </c>
      <c r="I5" s="2">
        <v>2</v>
      </c>
      <c r="J5" s="2">
        <v>0</v>
      </c>
      <c r="K5" s="1" t="s">
        <v>69</v>
      </c>
      <c r="L5" s="36">
        <v>0.5</v>
      </c>
      <c r="O5" s="29">
        <v>1000000000</v>
      </c>
      <c r="P5" s="29">
        <v>1000000000</v>
      </c>
      <c r="Q5" s="29">
        <v>1000000000</v>
      </c>
      <c r="R5" s="29">
        <v>1000000000</v>
      </c>
      <c r="S5" s="29">
        <v>1000000000</v>
      </c>
      <c r="V5" s="40">
        <v>3.5786158002389982E-3</v>
      </c>
      <c r="W5" s="38">
        <v>9.9564116116537064E-5</v>
      </c>
      <c r="X5" s="12">
        <v>5.8979835896539982E-3</v>
      </c>
      <c r="Y5" s="12">
        <v>5.8979835896539982E-3</v>
      </c>
      <c r="Z5" s="12">
        <v>5.8979835896539982E-3</v>
      </c>
      <c r="AB5" s="1" t="s">
        <v>45</v>
      </c>
      <c r="AC5" s="20">
        <v>49579.999923706055</v>
      </c>
      <c r="AD5" s="20">
        <v>5711.2659035049346</v>
      </c>
      <c r="AE5" s="20">
        <v>27645.632913605437</v>
      </c>
      <c r="AF5" s="20">
        <v>49579.999923706055</v>
      </c>
      <c r="AG5" s="20">
        <v>49579.999923706055</v>
      </c>
      <c r="AH5" s="1" t="s">
        <v>45</v>
      </c>
      <c r="AI5" s="33">
        <f t="shared" si="0"/>
        <v>15.406915887850465</v>
      </c>
      <c r="AJ5" s="33">
        <f t="shared" si="1"/>
        <v>15.406915887850465</v>
      </c>
      <c r="AK5" s="33">
        <f t="shared" si="2"/>
        <v>15.406915887850465</v>
      </c>
      <c r="AL5" s="33">
        <f t="shared" si="3"/>
        <v>15.406915887850465</v>
      </c>
      <c r="AM5" s="33">
        <f t="shared" si="4"/>
        <v>15.406915887850465</v>
      </c>
      <c r="AO5" s="1" t="s">
        <v>29</v>
      </c>
      <c r="AP5" s="9">
        <v>2757155401.5791626</v>
      </c>
      <c r="AQ5">
        <v>2757155401.5791626</v>
      </c>
      <c r="AR5" s="14" t="s">
        <v>29</v>
      </c>
      <c r="AS5" s="15">
        <v>0</v>
      </c>
      <c r="AT5" s="15">
        <v>0</v>
      </c>
      <c r="AU5" s="15">
        <v>153.45612515099998</v>
      </c>
      <c r="AV5" s="15">
        <v>59.700015874999998</v>
      </c>
      <c r="AW5" s="15">
        <v>0</v>
      </c>
      <c r="AY5" t="s">
        <v>28</v>
      </c>
      <c r="AZ5" s="46">
        <v>-2.4062562941979144E-4</v>
      </c>
      <c r="BA5" s="46">
        <v>-6.6461253801447149E-4</v>
      </c>
      <c r="BB5" s="46">
        <v>-2.1053428626948822E-4</v>
      </c>
      <c r="BC5" s="46">
        <v>-5.4890977353893753E-4</v>
      </c>
      <c r="BD5" s="46">
        <v>-3.5782409449092167E-4</v>
      </c>
      <c r="BF5" t="s">
        <v>29</v>
      </c>
      <c r="BG5" s="18">
        <f>R1</f>
        <v>8318143680</v>
      </c>
      <c r="BH5" s="5" t="s">
        <v>58</v>
      </c>
      <c r="BI5" s="18">
        <v>-988623621</v>
      </c>
      <c r="BJ5" s="18">
        <v>-2087000167</v>
      </c>
      <c r="BK5" s="18">
        <v>0</v>
      </c>
      <c r="BL5" s="18">
        <v>0</v>
      </c>
      <c r="BM5" s="18">
        <v>0</v>
      </c>
      <c r="BN5" s="18">
        <v>-2087000167</v>
      </c>
      <c r="BO5" s="18">
        <v>0</v>
      </c>
      <c r="BP5" s="18">
        <v>-988623621</v>
      </c>
      <c r="BQ5" s="18">
        <v>0</v>
      </c>
      <c r="BR5" s="18">
        <v>0</v>
      </c>
      <c r="BS5" s="18">
        <v>0</v>
      </c>
      <c r="BT5" s="18">
        <v>0</v>
      </c>
      <c r="BU5" s="18">
        <v>0</v>
      </c>
      <c r="BV5" s="18">
        <v>0</v>
      </c>
      <c r="BW5" s="18">
        <v>0</v>
      </c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</row>
    <row r="6" spans="1:180">
      <c r="A6" s="1"/>
      <c r="E6" s="2"/>
      <c r="F6" s="2">
        <v>0</v>
      </c>
      <c r="G6" s="2">
        <v>0</v>
      </c>
      <c r="H6" s="2">
        <v>1</v>
      </c>
      <c r="I6" s="2">
        <v>3</v>
      </c>
      <c r="J6" s="2">
        <v>0</v>
      </c>
      <c r="K6" s="1" t="s">
        <v>70</v>
      </c>
      <c r="L6" s="36">
        <v>0.5</v>
      </c>
      <c r="O6" s="29">
        <v>1000000000</v>
      </c>
      <c r="P6" s="29">
        <v>1000000000</v>
      </c>
      <c r="Q6" s="29">
        <v>1000000000</v>
      </c>
      <c r="R6" s="29">
        <v>1000000000</v>
      </c>
      <c r="S6" s="29">
        <v>1000000000</v>
      </c>
      <c r="V6" s="40">
        <v>3.6314295320523035E-3</v>
      </c>
      <c r="W6" s="38">
        <v>7.3221979528358616E-4</v>
      </c>
      <c r="X6" s="12">
        <v>6.530639268821037E-3</v>
      </c>
      <c r="Y6" s="12">
        <v>6.530639268821037E-3</v>
      </c>
      <c r="Z6" s="12">
        <v>6.530639268821037E-3</v>
      </c>
      <c r="AB6" s="1" t="s">
        <v>46</v>
      </c>
      <c r="AC6" s="20">
        <v>27074.506323254856</v>
      </c>
      <c r="AD6" s="20">
        <v>753.2659111342532</v>
      </c>
      <c r="AE6" s="20">
        <v>44621.999931335449</v>
      </c>
      <c r="AF6" s="20">
        <v>44621.999931335449</v>
      </c>
      <c r="AG6" s="20">
        <v>44621.999931335449</v>
      </c>
      <c r="AH6" s="1" t="s">
        <v>46</v>
      </c>
      <c r="AI6" s="33">
        <f t="shared" si="0"/>
        <v>20.005607476635511</v>
      </c>
      <c r="AJ6" s="33">
        <f t="shared" si="1"/>
        <v>20.005607476635511</v>
      </c>
      <c r="AK6" s="33">
        <f t="shared" si="2"/>
        <v>20.005607476635511</v>
      </c>
      <c r="AL6" s="33">
        <f t="shared" si="3"/>
        <v>20.005607476635511</v>
      </c>
      <c r="AM6" s="33">
        <f t="shared" si="4"/>
        <v>20.005607476635511</v>
      </c>
      <c r="AO6" s="1" t="s">
        <v>30</v>
      </c>
      <c r="AP6" s="9">
        <v>0</v>
      </c>
      <c r="AQ6">
        <v>0</v>
      </c>
      <c r="AR6" s="14" t="s">
        <v>30</v>
      </c>
      <c r="AS6" s="15">
        <v>0</v>
      </c>
      <c r="AT6" s="15">
        <v>0</v>
      </c>
      <c r="AU6" s="15">
        <v>0</v>
      </c>
      <c r="AV6" s="15">
        <v>0</v>
      </c>
      <c r="AW6" s="15">
        <v>0</v>
      </c>
      <c r="AY6" t="s">
        <v>29</v>
      </c>
      <c r="AZ6" s="35">
        <v>-1.5976052876527278E-5</v>
      </c>
      <c r="BA6" s="35">
        <v>-6.3836458783274872E-4</v>
      </c>
      <c r="BB6" s="35">
        <v>3.6874422840766361E-4</v>
      </c>
      <c r="BC6" s="35">
        <v>-5.4890977353893753E-4</v>
      </c>
      <c r="BD6" s="35">
        <v>1.1773755169623582E-3</v>
      </c>
      <c r="BF6" t="s">
        <v>30</v>
      </c>
      <c r="BG6" s="18">
        <f>S1</f>
        <v>8318143680</v>
      </c>
      <c r="BH6" s="5" t="s">
        <v>58</v>
      </c>
      <c r="BI6" s="18">
        <v>0</v>
      </c>
      <c r="BJ6" s="18">
        <v>0</v>
      </c>
      <c r="BK6" s="18">
        <v>0</v>
      </c>
      <c r="BL6" s="18">
        <v>0</v>
      </c>
      <c r="BM6" s="18">
        <v>0</v>
      </c>
      <c r="BN6" s="18">
        <v>0</v>
      </c>
      <c r="BO6" s="18">
        <v>0</v>
      </c>
      <c r="BP6" s="18">
        <v>0</v>
      </c>
      <c r="BQ6" s="18">
        <v>0</v>
      </c>
      <c r="BR6" s="18">
        <v>0</v>
      </c>
      <c r="BS6" s="18">
        <v>0</v>
      </c>
      <c r="BT6" s="18">
        <v>0</v>
      </c>
      <c r="BU6" s="18">
        <v>0</v>
      </c>
      <c r="BV6" s="18">
        <v>0</v>
      </c>
      <c r="BW6" s="18">
        <v>0</v>
      </c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</row>
    <row r="7" spans="1:180">
      <c r="A7" s="1"/>
      <c r="E7" s="2"/>
      <c r="F7" s="2">
        <v>0</v>
      </c>
      <c r="G7" s="2">
        <v>0</v>
      </c>
      <c r="H7" s="2">
        <v>3</v>
      </c>
      <c r="I7" s="2">
        <v>0</v>
      </c>
      <c r="J7" s="2">
        <v>1</v>
      </c>
      <c r="K7" s="1" t="s">
        <v>83</v>
      </c>
      <c r="L7" s="36">
        <v>0.1</v>
      </c>
      <c r="V7" s="38">
        <v>2.9393339926166153E-3</v>
      </c>
      <c r="W7" s="12">
        <v>8.7377534661540728E-3</v>
      </c>
      <c r="X7" s="38">
        <v>2.9393339926166153E-3</v>
      </c>
      <c r="Y7" s="12">
        <v>8.7377534661540728E-3</v>
      </c>
      <c r="Z7" s="12">
        <v>8.7377534661540728E-3</v>
      </c>
      <c r="AB7" s="1" t="s">
        <v>47</v>
      </c>
      <c r="AC7" s="20">
        <v>27474.075820443832</v>
      </c>
      <c r="AD7" s="20">
        <v>5539.7088103433316</v>
      </c>
      <c r="AE7" s="20">
        <v>49408.442830544453</v>
      </c>
      <c r="AF7" s="20">
        <v>49408.442830544453</v>
      </c>
      <c r="AG7" s="20">
        <v>49408.442830544453</v>
      </c>
      <c r="AH7" s="1" t="s">
        <v>47</v>
      </c>
      <c r="AI7" s="33">
        <f t="shared" si="0"/>
        <v>3.6893457943925227</v>
      </c>
      <c r="AJ7" s="33">
        <f t="shared" si="1"/>
        <v>3.6893457943925227</v>
      </c>
      <c r="AK7" s="33">
        <f t="shared" si="2"/>
        <v>3.6893457943925227</v>
      </c>
      <c r="AL7" s="33">
        <f t="shared" si="3"/>
        <v>3.6893457943925227</v>
      </c>
      <c r="AM7" s="33">
        <f t="shared" si="4"/>
        <v>3.6893457943925227</v>
      </c>
      <c r="AY7" t="s">
        <v>30</v>
      </c>
      <c r="AZ7" s="35">
        <v>4.3598133216802214E-4</v>
      </c>
      <c r="BA7" s="35">
        <v>-2.8585280280717812E-4</v>
      </c>
      <c r="BB7" s="35">
        <v>4.6818982842664248E-4</v>
      </c>
      <c r="BC7" s="35">
        <v>-5.4890977353893753E-4</v>
      </c>
      <c r="BD7" s="35">
        <v>1.1773755169623582E-3</v>
      </c>
      <c r="BH7" t="s">
        <v>76</v>
      </c>
      <c r="BI7">
        <v>1</v>
      </c>
      <c r="BJ7">
        <v>2</v>
      </c>
      <c r="BK7">
        <v>3</v>
      </c>
      <c r="BL7">
        <v>1</v>
      </c>
      <c r="BM7">
        <v>2</v>
      </c>
      <c r="BN7">
        <v>3</v>
      </c>
      <c r="BO7">
        <v>1</v>
      </c>
      <c r="BP7">
        <v>2</v>
      </c>
      <c r="BQ7">
        <v>3</v>
      </c>
      <c r="BR7">
        <v>1</v>
      </c>
      <c r="BS7">
        <v>2</v>
      </c>
      <c r="BT7">
        <v>3</v>
      </c>
      <c r="BU7">
        <v>1</v>
      </c>
      <c r="BV7">
        <v>2</v>
      </c>
      <c r="BW7">
        <v>3</v>
      </c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</row>
    <row r="8" spans="1:180">
      <c r="A8" s="1"/>
      <c r="E8" s="2"/>
      <c r="F8" s="2">
        <v>0</v>
      </c>
      <c r="G8" s="2">
        <v>0</v>
      </c>
      <c r="H8" s="2">
        <v>0</v>
      </c>
      <c r="I8" s="2">
        <v>1</v>
      </c>
      <c r="J8" s="2">
        <v>0</v>
      </c>
      <c r="V8" s="38">
        <v>3.6383542699089549E-3</v>
      </c>
      <c r="W8" s="12">
        <v>9.4367737434463972E-3</v>
      </c>
      <c r="X8" s="12">
        <v>9.4367737434463972E-3</v>
      </c>
      <c r="Y8" s="12">
        <v>9.4367737434463972E-3</v>
      </c>
      <c r="Z8" s="12">
        <v>9.4367737434463972E-3</v>
      </c>
      <c r="AB8" s="1" t="s">
        <v>48</v>
      </c>
      <c r="AC8" s="20">
        <v>22237.932544740248</v>
      </c>
      <c r="AD8" s="20">
        <v>66106.666564941421</v>
      </c>
      <c r="AE8" s="20">
        <v>22237.932544740248</v>
      </c>
      <c r="AF8" s="20">
        <v>66106.666564941421</v>
      </c>
      <c r="AG8" s="20">
        <v>66106.666564941421</v>
      </c>
      <c r="AH8" s="1" t="s">
        <v>48</v>
      </c>
      <c r="AI8" s="33">
        <f t="shared" si="0"/>
        <v>1.2211214953271026</v>
      </c>
      <c r="AJ8" s="33">
        <f t="shared" si="1"/>
        <v>1.2211214953271026</v>
      </c>
      <c r="AK8" s="33">
        <f t="shared" si="2"/>
        <v>1.2211214953271026</v>
      </c>
      <c r="AL8" s="33">
        <f t="shared" si="3"/>
        <v>1.2211214953271026</v>
      </c>
      <c r="AM8" s="33">
        <f t="shared" si="4"/>
        <v>1.2211214953271026</v>
      </c>
      <c r="AO8" s="16" t="s">
        <v>39</v>
      </c>
      <c r="AP8" cm="1">
        <f t="array" ref="AP8">SUM(cI*attivazione,cA*attivazione2,cP*EnergyConsumption,cL*Links,cVM*AQ12:AU12,-fonalpha)</f>
        <v>-87874.584373504244</v>
      </c>
      <c r="BH8" t="s">
        <v>77</v>
      </c>
      <c r="BI8">
        <v>1</v>
      </c>
      <c r="BJ8">
        <v>1</v>
      </c>
      <c r="BK8">
        <v>1</v>
      </c>
      <c r="BL8">
        <v>2</v>
      </c>
      <c r="BM8">
        <v>2</v>
      </c>
      <c r="BN8">
        <v>2</v>
      </c>
      <c r="BO8">
        <v>3</v>
      </c>
      <c r="BP8">
        <v>3</v>
      </c>
      <c r="BQ8">
        <v>3</v>
      </c>
      <c r="BR8">
        <v>4</v>
      </c>
      <c r="BS8">
        <v>4</v>
      </c>
      <c r="BT8">
        <v>4</v>
      </c>
      <c r="BU8">
        <v>5</v>
      </c>
      <c r="BV8">
        <v>5</v>
      </c>
      <c r="BW8">
        <v>5</v>
      </c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</row>
    <row r="9" spans="1:180">
      <c r="A9" s="1"/>
      <c r="E9" s="2"/>
      <c r="AB9" s="1" t="s">
        <v>49</v>
      </c>
      <c r="AC9" s="20">
        <v>27526.46586993567</v>
      </c>
      <c r="AD9" s="20">
        <v>71395.199890136733</v>
      </c>
      <c r="AE9" s="20">
        <v>71395.199890136733</v>
      </c>
      <c r="AF9" s="20">
        <v>71395.199890136733</v>
      </c>
      <c r="AG9" s="20">
        <v>71395.199890136733</v>
      </c>
      <c r="AH9" s="1" t="s">
        <v>49</v>
      </c>
      <c r="AI9" s="33">
        <f>AG37*$AI$13</f>
        <v>2.78</v>
      </c>
      <c r="AJ9" s="33">
        <f t="shared" ref="AJ9:AM9" si="5">AH37*$AI$13</f>
        <v>2.78</v>
      </c>
      <c r="AK9" s="33">
        <f t="shared" si="5"/>
        <v>2.78</v>
      </c>
      <c r="AL9" s="33">
        <f t="shared" si="5"/>
        <v>2.78</v>
      </c>
      <c r="AM9" s="33">
        <f t="shared" si="5"/>
        <v>2.78</v>
      </c>
      <c r="AQ9" s="5" t="s">
        <v>26</v>
      </c>
      <c r="AR9" s="5" t="s">
        <v>27</v>
      </c>
      <c r="AS9" s="5" t="s">
        <v>28</v>
      </c>
      <c r="AT9" s="5" t="s">
        <v>29</v>
      </c>
      <c r="AU9" s="5" t="s">
        <v>30</v>
      </c>
      <c r="AW9" t="s">
        <v>54</v>
      </c>
      <c r="AX9" s="5" t="s">
        <v>26</v>
      </c>
      <c r="AY9" s="5" t="s">
        <v>27</v>
      </c>
      <c r="AZ9" s="5" t="s">
        <v>28</v>
      </c>
      <c r="BA9" s="5" t="s">
        <v>29</v>
      </c>
      <c r="BB9" s="5" t="s">
        <v>30</v>
      </c>
      <c r="BH9" s="5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</row>
    <row r="10" spans="1:180">
      <c r="A10" s="1"/>
      <c r="P10" s="3"/>
      <c r="Q10" s="2"/>
      <c r="R10" s="2"/>
      <c r="Z10" s="2"/>
      <c r="AA10" s="2"/>
      <c r="AP10" s="1" t="s">
        <v>71</v>
      </c>
      <c r="AQ10" s="10">
        <v>66.56</v>
      </c>
      <c r="AR10" s="10">
        <v>66.56</v>
      </c>
      <c r="AS10" s="10">
        <v>66.56</v>
      </c>
      <c r="AT10" s="10">
        <v>8</v>
      </c>
      <c r="AU10" s="10">
        <v>0</v>
      </c>
      <c r="AW10" s="5" t="s">
        <v>42</v>
      </c>
      <c r="AX10" s="10">
        <v>0</v>
      </c>
      <c r="AY10" s="10">
        <v>0</v>
      </c>
      <c r="AZ10" s="10">
        <v>0</v>
      </c>
      <c r="BA10" s="10">
        <v>8.6257943925233622</v>
      </c>
      <c r="BB10" s="10">
        <v>0</v>
      </c>
    </row>
    <row r="11" spans="1:180">
      <c r="A11" s="19" t="s">
        <v>2</v>
      </c>
      <c r="B11" s="2">
        <v>3</v>
      </c>
      <c r="C11" s="2">
        <v>3</v>
      </c>
      <c r="D11" s="2">
        <v>3</v>
      </c>
      <c r="E11" s="2">
        <v>3</v>
      </c>
      <c r="F11" s="2">
        <v>3</v>
      </c>
      <c r="H11" s="1" t="s">
        <v>4</v>
      </c>
      <c r="I11">
        <v>0.2</v>
      </c>
      <c r="J11">
        <v>0.2</v>
      </c>
      <c r="K11">
        <v>0.2</v>
      </c>
      <c r="L11">
        <v>0.2</v>
      </c>
      <c r="M11">
        <v>0.2</v>
      </c>
      <c r="O11" s="1" t="s">
        <v>21</v>
      </c>
      <c r="P11">
        <v>0</v>
      </c>
      <c r="Q11">
        <v>5.9999999999999993E-3</v>
      </c>
      <c r="R11">
        <v>5.9999999999999993E-3</v>
      </c>
      <c r="S11">
        <v>5.9999999999999993E-3</v>
      </c>
      <c r="T11">
        <v>5.9999999999999993E-3</v>
      </c>
      <c r="V11" s="5" t="s">
        <v>7</v>
      </c>
      <c r="W11">
        <v>0</v>
      </c>
      <c r="X11">
        <v>0</v>
      </c>
      <c r="Y11">
        <v>0</v>
      </c>
      <c r="Z11">
        <v>0</v>
      </c>
      <c r="AA11">
        <v>0</v>
      </c>
      <c r="AP11" t="s">
        <v>72</v>
      </c>
      <c r="AQ11">
        <v>5.4</v>
      </c>
      <c r="AR11">
        <v>5.4</v>
      </c>
      <c r="AS11">
        <v>5.4</v>
      </c>
      <c r="AT11">
        <v>5.4</v>
      </c>
      <c r="AU11">
        <v>0</v>
      </c>
      <c r="AW11" s="5" t="s">
        <v>43</v>
      </c>
      <c r="AX11" s="10">
        <v>0</v>
      </c>
      <c r="AY11" s="10">
        <v>0</v>
      </c>
      <c r="AZ11" s="10">
        <v>0</v>
      </c>
      <c r="BA11" s="10">
        <v>10.782242990654204</v>
      </c>
      <c r="BB11" s="10">
        <v>0</v>
      </c>
      <c r="BD11">
        <f>SUM(Linkss)</f>
        <v>4.9732913211839982</v>
      </c>
      <c r="BE11" s="5" t="s">
        <v>52</v>
      </c>
      <c r="BF11" s="5" t="s">
        <v>26</v>
      </c>
      <c r="BG11" s="5" t="s">
        <v>27</v>
      </c>
      <c r="BH11" s="5" t="s">
        <v>28</v>
      </c>
      <c r="BI11" s="5" t="s">
        <v>29</v>
      </c>
      <c r="BJ11" s="5" t="s">
        <v>30</v>
      </c>
    </row>
    <row r="12" spans="1:180">
      <c r="A12" s="19" t="s">
        <v>3</v>
      </c>
      <c r="B12" s="2"/>
      <c r="C12" s="2">
        <v>8</v>
      </c>
      <c r="D12" s="2"/>
      <c r="E12" s="2"/>
      <c r="F12" s="2"/>
      <c r="I12">
        <v>0.2</v>
      </c>
      <c r="J12">
        <v>0.2</v>
      </c>
      <c r="K12">
        <v>0.2</v>
      </c>
      <c r="L12">
        <v>0.2</v>
      </c>
      <c r="M12">
        <v>0.2</v>
      </c>
      <c r="P12">
        <v>5.9999999999999993E-3</v>
      </c>
      <c r="Q12">
        <v>0</v>
      </c>
      <c r="R12">
        <v>5.9999999999999993E-3</v>
      </c>
      <c r="S12">
        <v>5.9999999999999993E-3</v>
      </c>
      <c r="T12">
        <v>5.9999999999999993E-3</v>
      </c>
      <c r="W12">
        <v>0</v>
      </c>
      <c r="X12">
        <v>0</v>
      </c>
      <c r="Y12">
        <v>0</v>
      </c>
      <c r="Z12">
        <v>0</v>
      </c>
      <c r="AA12">
        <v>0</v>
      </c>
      <c r="AP12" t="s">
        <v>73</v>
      </c>
      <c r="AQ12">
        <f>SUM(AX10:AX17)</f>
        <v>2.78</v>
      </c>
      <c r="AR12">
        <f t="shared" ref="AR12:AU12" si="6">SUM(AY10:AY17)</f>
        <v>39.1018691588785</v>
      </c>
      <c r="AS12">
        <f t="shared" si="6"/>
        <v>2.4422429906542051</v>
      </c>
      <c r="AT12">
        <f t="shared" si="6"/>
        <v>19.408037383177565</v>
      </c>
      <c r="AU12">
        <f t="shared" si="6"/>
        <v>0</v>
      </c>
      <c r="AW12" s="5" t="s">
        <v>44</v>
      </c>
      <c r="AX12" s="10">
        <v>0</v>
      </c>
      <c r="AY12" s="10">
        <v>0</v>
      </c>
      <c r="AZ12" s="10">
        <v>1.2211214953271026</v>
      </c>
      <c r="BA12" s="10">
        <v>0</v>
      </c>
      <c r="BB12" s="10">
        <v>0</v>
      </c>
      <c r="BE12" s="5" t="s">
        <v>26</v>
      </c>
      <c r="BF12" s="17">
        <v>0</v>
      </c>
      <c r="BG12" s="17">
        <v>1.429925624964</v>
      </c>
      <c r="BH12" s="17">
        <v>0</v>
      </c>
      <c r="BI12" s="17">
        <v>0</v>
      </c>
      <c r="BJ12" s="17">
        <v>0</v>
      </c>
    </row>
    <row r="13" spans="1:180">
      <c r="A13" s="19" t="s">
        <v>55</v>
      </c>
      <c r="B13">
        <v>66.56</v>
      </c>
      <c r="C13">
        <v>66.56</v>
      </c>
      <c r="D13">
        <v>66.56</v>
      </c>
      <c r="E13">
        <v>8</v>
      </c>
      <c r="F13">
        <v>66.56</v>
      </c>
      <c r="I13">
        <v>0.2</v>
      </c>
      <c r="J13">
        <v>0.2</v>
      </c>
      <c r="K13">
        <v>0.2</v>
      </c>
      <c r="L13">
        <v>0.2</v>
      </c>
      <c r="M13">
        <v>0.2</v>
      </c>
      <c r="P13">
        <v>5.9999999999999993E-3</v>
      </c>
      <c r="Q13">
        <v>5.9999999999999993E-3</v>
      </c>
      <c r="R13">
        <v>0</v>
      </c>
      <c r="S13">
        <v>5.9999999999999993E-3</v>
      </c>
      <c r="T13">
        <v>5.9999999999999993E-3</v>
      </c>
      <c r="W13">
        <v>0</v>
      </c>
      <c r="X13">
        <v>0</v>
      </c>
      <c r="Y13">
        <v>0</v>
      </c>
      <c r="Z13">
        <v>0</v>
      </c>
      <c r="AA13">
        <v>0</v>
      </c>
      <c r="AI13">
        <f>2.78/1.07</f>
        <v>2.5981308411214949</v>
      </c>
      <c r="AP13" s="1" t="s">
        <v>40</v>
      </c>
      <c r="AQ13" s="10">
        <v>63.14</v>
      </c>
      <c r="AR13" s="10">
        <v>55.362429555305049</v>
      </c>
      <c r="AS13" s="10">
        <v>89.911995874778455</v>
      </c>
      <c r="AT13" s="10">
        <v>364.43138670752751</v>
      </c>
      <c r="AU13" s="10">
        <v>0</v>
      </c>
      <c r="AW13" s="5" t="s">
        <v>45</v>
      </c>
      <c r="AX13" s="10">
        <v>0</v>
      </c>
      <c r="AY13" s="10">
        <v>15.406915887850465</v>
      </c>
      <c r="AZ13" s="10">
        <v>0</v>
      </c>
      <c r="BA13" s="10">
        <v>0</v>
      </c>
      <c r="BB13" s="10">
        <v>0</v>
      </c>
      <c r="BE13" s="5" t="s">
        <v>27</v>
      </c>
      <c r="BF13" s="17">
        <v>0</v>
      </c>
      <c r="BG13" s="17">
        <v>0</v>
      </c>
      <c r="BH13" s="17">
        <v>0</v>
      </c>
      <c r="BI13" s="17">
        <v>2.2710664237139992</v>
      </c>
      <c r="BJ13" s="17">
        <v>0</v>
      </c>
    </row>
    <row r="14" spans="1:180">
      <c r="A14" s="19" t="s">
        <v>56</v>
      </c>
      <c r="B14">
        <v>5.4</v>
      </c>
      <c r="C14">
        <v>5.4</v>
      </c>
      <c r="D14">
        <v>5.4</v>
      </c>
      <c r="E14">
        <v>5.4</v>
      </c>
      <c r="F14">
        <v>5.4</v>
      </c>
      <c r="I14">
        <v>0.2</v>
      </c>
      <c r="J14">
        <v>0.2</v>
      </c>
      <c r="K14">
        <v>0.2</v>
      </c>
      <c r="L14">
        <v>0.2</v>
      </c>
      <c r="M14">
        <v>0.2</v>
      </c>
      <c r="P14">
        <v>5.9999999999999993E-3</v>
      </c>
      <c r="Q14">
        <v>5.9999999999999993E-3</v>
      </c>
      <c r="R14">
        <v>5.9999999999999993E-3</v>
      </c>
      <c r="S14">
        <v>0</v>
      </c>
      <c r="T14">
        <v>5.9999999999999993E-3</v>
      </c>
      <c r="W14">
        <v>0</v>
      </c>
      <c r="X14">
        <v>0</v>
      </c>
      <c r="Y14">
        <v>0</v>
      </c>
      <c r="Z14">
        <v>0</v>
      </c>
      <c r="AA14">
        <v>0</v>
      </c>
      <c r="AP14" s="1" t="s">
        <v>41</v>
      </c>
      <c r="AQ14" s="10">
        <v>4.9732913211839982</v>
      </c>
      <c r="AW14" s="5" t="s">
        <v>46</v>
      </c>
      <c r="AX14" s="10">
        <v>0</v>
      </c>
      <c r="AY14" s="10">
        <v>20.005607476635511</v>
      </c>
      <c r="AZ14" s="10">
        <v>0</v>
      </c>
      <c r="BA14" s="10">
        <v>0</v>
      </c>
      <c r="BB14" s="10">
        <v>0</v>
      </c>
      <c r="BE14" s="5" t="s">
        <v>28</v>
      </c>
      <c r="BF14" s="17">
        <v>0</v>
      </c>
      <c r="BG14" s="17">
        <v>0.3515625215999999</v>
      </c>
      <c r="BH14" s="17">
        <v>0</v>
      </c>
      <c r="BI14" s="17">
        <v>0</v>
      </c>
      <c r="BJ14" s="17">
        <v>0</v>
      </c>
    </row>
    <row r="15" spans="1:180">
      <c r="A15" s="19" t="s">
        <v>16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I15">
        <v>0.2</v>
      </c>
      <c r="J15">
        <v>0.2</v>
      </c>
      <c r="K15">
        <v>0.2</v>
      </c>
      <c r="L15">
        <v>0.2</v>
      </c>
      <c r="M15">
        <v>0.2</v>
      </c>
      <c r="P15">
        <v>5.9999999999999993E-3</v>
      </c>
      <c r="Q15">
        <v>5.9999999999999993E-3</v>
      </c>
      <c r="R15">
        <v>5.9999999999999993E-3</v>
      </c>
      <c r="S15">
        <v>5.9999999999999993E-3</v>
      </c>
      <c r="T15">
        <v>0</v>
      </c>
      <c r="W15">
        <v>0</v>
      </c>
      <c r="X15">
        <v>0</v>
      </c>
      <c r="Y15">
        <v>0</v>
      </c>
      <c r="Z15">
        <v>0</v>
      </c>
      <c r="AA15">
        <v>0</v>
      </c>
      <c r="AP15" s="1" t="s">
        <v>90</v>
      </c>
      <c r="AQ15" s="52">
        <v>88310</v>
      </c>
      <c r="AW15" s="5" t="s">
        <v>47</v>
      </c>
      <c r="AX15" s="10">
        <v>0</v>
      </c>
      <c r="AY15" s="10">
        <v>3.6893457943925227</v>
      </c>
      <c r="AZ15" s="10">
        <v>0</v>
      </c>
      <c r="BA15" s="10">
        <v>0</v>
      </c>
      <c r="BB15" s="10">
        <v>0</v>
      </c>
      <c r="BE15" s="5" t="s">
        <v>29</v>
      </c>
      <c r="BF15" s="17">
        <v>0</v>
      </c>
      <c r="BG15" s="17">
        <v>0</v>
      </c>
      <c r="BH15" s="17">
        <v>0.92073675090599982</v>
      </c>
      <c r="BI15" s="17">
        <v>0</v>
      </c>
      <c r="BJ15" s="17">
        <v>0</v>
      </c>
    </row>
    <row r="16" spans="1:180">
      <c r="I16">
        <v>0.2</v>
      </c>
      <c r="J16">
        <v>0.2</v>
      </c>
      <c r="K16">
        <v>0.2</v>
      </c>
      <c r="L16">
        <v>0.2</v>
      </c>
      <c r="M16">
        <v>0.2</v>
      </c>
      <c r="P16" s="1"/>
      <c r="AW16" s="5" t="s">
        <v>48</v>
      </c>
      <c r="AX16" s="10">
        <v>0</v>
      </c>
      <c r="AY16" s="10">
        <v>0</v>
      </c>
      <c r="AZ16" s="10">
        <v>1.2211214953271026</v>
      </c>
      <c r="BA16" s="10">
        <v>0</v>
      </c>
      <c r="BB16" s="10">
        <v>0</v>
      </c>
      <c r="BE16" s="5" t="s">
        <v>30</v>
      </c>
      <c r="BF16" s="17">
        <v>0</v>
      </c>
      <c r="BG16" s="17">
        <v>0</v>
      </c>
      <c r="BH16" s="17">
        <v>0</v>
      </c>
      <c r="BI16" s="17">
        <v>0</v>
      </c>
      <c r="BJ16" s="17">
        <v>0</v>
      </c>
    </row>
    <row r="17" spans="3:54">
      <c r="I17">
        <v>0.2</v>
      </c>
      <c r="J17">
        <v>0.2</v>
      </c>
      <c r="K17">
        <v>0.2</v>
      </c>
      <c r="L17">
        <v>0.2</v>
      </c>
      <c r="M17">
        <v>0.2</v>
      </c>
      <c r="P17" s="1"/>
      <c r="U17" t="s">
        <v>22</v>
      </c>
      <c r="V17" s="19" t="s">
        <v>62</v>
      </c>
      <c r="W17" s="35">
        <v>1E-3</v>
      </c>
      <c r="X17" s="35">
        <v>1E-3</v>
      </c>
      <c r="Y17" s="35">
        <v>1E-3</v>
      </c>
      <c r="Z17" s="35">
        <v>1E-3</v>
      </c>
      <c r="AA17" s="35">
        <v>1E-3</v>
      </c>
      <c r="AD17" t="s">
        <v>19</v>
      </c>
      <c r="AW17" s="5" t="s">
        <v>49</v>
      </c>
      <c r="AX17" s="10">
        <v>2.78</v>
      </c>
      <c r="AY17" s="10">
        <v>0</v>
      </c>
      <c r="AZ17" s="10">
        <v>0</v>
      </c>
      <c r="BA17" s="10">
        <v>0</v>
      </c>
      <c r="BB17" s="10">
        <v>0</v>
      </c>
    </row>
    <row r="18" spans="3:54" ht="45">
      <c r="I18">
        <v>0.2</v>
      </c>
      <c r="J18">
        <v>0.2</v>
      </c>
      <c r="K18">
        <v>0.2</v>
      </c>
      <c r="L18">
        <v>0.2</v>
      </c>
      <c r="M18">
        <v>0.2</v>
      </c>
      <c r="P18" s="1">
        <f>5.34*0.3/267</f>
        <v>5.9999999999999993E-3</v>
      </c>
      <c r="V18" s="30" t="s">
        <v>60</v>
      </c>
      <c r="W18">
        <v>15650</v>
      </c>
      <c r="X18">
        <v>33528</v>
      </c>
      <c r="Y18">
        <v>15378</v>
      </c>
      <c r="Z18">
        <v>17354</v>
      </c>
      <c r="AA18">
        <v>6400</v>
      </c>
      <c r="AD18">
        <v>7.6293949999999998E-3</v>
      </c>
      <c r="AF18" s="30" t="s">
        <v>61</v>
      </c>
      <c r="AG18">
        <f>W18*$AD$18</f>
        <v>119.40003175</v>
      </c>
      <c r="AH18">
        <f t="shared" ref="AH18:AK18" si="7">X18*$AD$18</f>
        <v>255.79835556</v>
      </c>
      <c r="AI18">
        <f t="shared" si="7"/>
        <v>117.32483630999999</v>
      </c>
      <c r="AJ18">
        <f t="shared" si="7"/>
        <v>132.40052083</v>
      </c>
      <c r="AK18">
        <f t="shared" si="7"/>
        <v>48.828128</v>
      </c>
    </row>
    <row r="19" spans="3:54">
      <c r="V19" s="31" t="s">
        <v>17</v>
      </c>
      <c r="W19">
        <v>0.5</v>
      </c>
      <c r="X19">
        <v>0.8</v>
      </c>
      <c r="Y19">
        <v>1</v>
      </c>
      <c r="AF19" s="31" t="s">
        <v>18</v>
      </c>
      <c r="AG19">
        <v>0.5</v>
      </c>
      <c r="AH19">
        <v>0.9</v>
      </c>
      <c r="AI19">
        <v>1.2</v>
      </c>
      <c r="AO19" t="s">
        <v>74</v>
      </c>
      <c r="AQ19">
        <f>SUM(AQ22:AU26)-foalpha</f>
        <v>-8395.5843735042472</v>
      </c>
    </row>
    <row r="20" spans="3:54">
      <c r="W20">
        <v>1</v>
      </c>
      <c r="X20">
        <v>0.7</v>
      </c>
      <c r="Y20">
        <v>0.8</v>
      </c>
      <c r="AG20">
        <v>1</v>
      </c>
      <c r="AH20">
        <v>0.7</v>
      </c>
      <c r="AI20">
        <v>0.9</v>
      </c>
      <c r="AO20" t="s">
        <v>75</v>
      </c>
    </row>
    <row r="21" spans="3:54">
      <c r="C21" s="3" t="s">
        <v>8</v>
      </c>
      <c r="D21" s="3" t="s">
        <v>9</v>
      </c>
      <c r="E21" s="3" t="s">
        <v>10</v>
      </c>
      <c r="F21" s="3" t="s">
        <v>11</v>
      </c>
      <c r="G21" s="4"/>
      <c r="H21" s="1" t="s">
        <v>8</v>
      </c>
      <c r="I21" s="1" t="s">
        <v>12</v>
      </c>
      <c r="J21" s="1" t="s">
        <v>10</v>
      </c>
      <c r="K21" s="1" t="s">
        <v>20</v>
      </c>
      <c r="M21" s="1" t="s">
        <v>13</v>
      </c>
      <c r="W21">
        <v>1</v>
      </c>
      <c r="X21">
        <v>0.5</v>
      </c>
      <c r="Y21">
        <v>1</v>
      </c>
      <c r="AG21">
        <v>1.7</v>
      </c>
      <c r="AH21">
        <v>0.5</v>
      </c>
      <c r="AI21">
        <v>1</v>
      </c>
      <c r="AQ21" s="5" t="s">
        <v>26</v>
      </c>
      <c r="AR21" s="5" t="s">
        <v>27</v>
      </c>
      <c r="AS21" s="5" t="s">
        <v>28</v>
      </c>
      <c r="AT21" s="5" t="s">
        <v>29</v>
      </c>
      <c r="AU21" s="5" t="s">
        <v>30</v>
      </c>
    </row>
    <row r="22" spans="3:54">
      <c r="C22" s="6">
        <v>1</v>
      </c>
      <c r="D22" s="6">
        <v>1</v>
      </c>
      <c r="E22" s="6">
        <v>1</v>
      </c>
      <c r="F22" s="6">
        <v>0</v>
      </c>
      <c r="G22" s="2"/>
      <c r="H22" s="6">
        <v>1</v>
      </c>
      <c r="I22" s="6">
        <v>1</v>
      </c>
      <c r="J22" s="6">
        <v>1</v>
      </c>
      <c r="K22" s="6">
        <v>0</v>
      </c>
      <c r="M22" s="6">
        <v>0</v>
      </c>
      <c r="N22" s="6">
        <v>0</v>
      </c>
      <c r="O22" s="6">
        <v>0</v>
      </c>
      <c r="P22" s="6">
        <v>1</v>
      </c>
      <c r="Q22" s="6">
        <v>0</v>
      </c>
      <c r="W22">
        <v>1</v>
      </c>
      <c r="X22">
        <v>0.7</v>
      </c>
      <c r="Y22">
        <v>1</v>
      </c>
      <c r="AG22">
        <v>1.8</v>
      </c>
      <c r="AH22">
        <v>0.7</v>
      </c>
      <c r="AI22">
        <v>1.7</v>
      </c>
      <c r="AP22" s="1" t="s">
        <v>71</v>
      </c>
      <c r="AQ22" s="37">
        <f>cI*AQ10</f>
        <v>33.28</v>
      </c>
      <c r="AR22" s="37">
        <f>cI*AR10</f>
        <v>33.28</v>
      </c>
      <c r="AS22" s="37">
        <f>cI*AS10</f>
        <v>33.28</v>
      </c>
      <c r="AT22" s="37">
        <f>cI*AT10</f>
        <v>4</v>
      </c>
      <c r="AU22" s="37">
        <f>cI*AU10</f>
        <v>0</v>
      </c>
    </row>
    <row r="23" spans="3:54">
      <c r="C23" s="6">
        <v>1</v>
      </c>
      <c r="D23" s="6">
        <v>1</v>
      </c>
      <c r="E23" s="6">
        <v>2</v>
      </c>
      <c r="F23" s="6">
        <v>0</v>
      </c>
      <c r="G23" s="2"/>
      <c r="H23" s="6">
        <v>1</v>
      </c>
      <c r="I23" s="6">
        <v>1</v>
      </c>
      <c r="J23" s="6">
        <v>2</v>
      </c>
      <c r="K23" s="6">
        <v>0</v>
      </c>
      <c r="M23" s="6">
        <v>0</v>
      </c>
      <c r="N23" s="6">
        <v>0</v>
      </c>
      <c r="O23" s="6">
        <v>0</v>
      </c>
      <c r="P23" s="6">
        <v>1</v>
      </c>
      <c r="Q23" s="6">
        <v>0</v>
      </c>
      <c r="W23">
        <v>1</v>
      </c>
      <c r="X23">
        <v>1</v>
      </c>
      <c r="Y23">
        <v>1</v>
      </c>
      <c r="AG23">
        <v>1</v>
      </c>
      <c r="AH23">
        <v>1.2</v>
      </c>
      <c r="AI23">
        <v>1</v>
      </c>
      <c r="AP23" t="s">
        <v>72</v>
      </c>
      <c r="AQ23" s="37">
        <f>cA*AQ11</f>
        <v>2.7</v>
      </c>
      <c r="AR23" s="37">
        <f>cA*AR11</f>
        <v>2.7</v>
      </c>
      <c r="AS23" s="37">
        <f>cA*AS11</f>
        <v>2.7</v>
      </c>
      <c r="AT23" s="37">
        <f>cA*AT11</f>
        <v>2.7</v>
      </c>
      <c r="AU23" s="37">
        <f>cA*AU11</f>
        <v>0</v>
      </c>
    </row>
    <row r="24" spans="3:54">
      <c r="C24" s="6">
        <v>1</v>
      </c>
      <c r="D24" s="6">
        <v>1</v>
      </c>
      <c r="E24" s="6">
        <v>3</v>
      </c>
      <c r="F24" s="6">
        <v>0</v>
      </c>
      <c r="G24" s="2"/>
      <c r="H24" s="6">
        <v>1</v>
      </c>
      <c r="I24" s="6">
        <v>1</v>
      </c>
      <c r="J24" s="6">
        <v>3</v>
      </c>
      <c r="K24" s="6">
        <v>0</v>
      </c>
      <c r="L24" s="2"/>
      <c r="M24" s="6">
        <v>0</v>
      </c>
      <c r="N24" s="6">
        <v>0</v>
      </c>
      <c r="O24" s="6">
        <v>1</v>
      </c>
      <c r="P24" s="6">
        <v>0</v>
      </c>
      <c r="Q24" s="6">
        <v>0</v>
      </c>
      <c r="V24" s="2"/>
      <c r="W24" s="2"/>
      <c r="X24" s="2"/>
      <c r="Y24" s="2"/>
      <c r="Z24" s="2"/>
      <c r="AP24" t="s">
        <v>73</v>
      </c>
      <c r="AQ24" s="37">
        <f>cVM*AQ12</f>
        <v>1.39</v>
      </c>
      <c r="AR24" s="37">
        <f>cVM*AR12</f>
        <v>19.55093457943925</v>
      </c>
      <c r="AS24" s="37">
        <f>cVM*AS12</f>
        <v>1.2211214953271026</v>
      </c>
      <c r="AT24" s="37">
        <f>cVM*AT12</f>
        <v>9.7040186915887823</v>
      </c>
      <c r="AU24" s="37">
        <f>cVM*AU12</f>
        <v>0</v>
      </c>
    </row>
    <row r="25" spans="3:54">
      <c r="C25" s="6">
        <v>1</v>
      </c>
      <c r="D25" s="6">
        <v>1</v>
      </c>
      <c r="E25" s="6">
        <v>4</v>
      </c>
      <c r="F25" s="6">
        <v>1</v>
      </c>
      <c r="G25" s="2"/>
      <c r="H25" s="6">
        <v>1</v>
      </c>
      <c r="I25" s="6">
        <v>1</v>
      </c>
      <c r="J25" s="6">
        <v>4</v>
      </c>
      <c r="K25" s="6">
        <v>1</v>
      </c>
      <c r="M25" s="6">
        <v>0</v>
      </c>
      <c r="N25" s="6">
        <v>1</v>
      </c>
      <c r="O25" s="6">
        <v>0</v>
      </c>
      <c r="P25" s="6">
        <v>0</v>
      </c>
      <c r="Q25" s="6">
        <v>0</v>
      </c>
      <c r="R25" s="3" t="s">
        <v>14</v>
      </c>
      <c r="S25" s="2"/>
      <c r="T25" s="2"/>
      <c r="U25" s="2"/>
      <c r="V25" s="2"/>
      <c r="W25" s="2"/>
      <c r="X25" s="2"/>
      <c r="Y25" s="2"/>
      <c r="Z25" s="11" t="s">
        <v>26</v>
      </c>
      <c r="AA25" s="11" t="s">
        <v>27</v>
      </c>
      <c r="AB25" s="11" t="s">
        <v>28</v>
      </c>
      <c r="AC25" s="11" t="s">
        <v>29</v>
      </c>
      <c r="AD25" s="11" t="s">
        <v>30</v>
      </c>
      <c r="AP25" s="1" t="s">
        <v>40</v>
      </c>
      <c r="AQ25" s="37">
        <f>cP*AQ13</f>
        <v>31.57</v>
      </c>
      <c r="AR25" s="37">
        <f>cP*AR13</f>
        <v>27.681214777652524</v>
      </c>
      <c r="AS25" s="37">
        <f>cP*AS13</f>
        <v>44.955997937389228</v>
      </c>
      <c r="AT25" s="37">
        <f>cP*AT13</f>
        <v>182.21569335376375</v>
      </c>
      <c r="AU25" s="37">
        <f>cP*AU13</f>
        <v>0</v>
      </c>
    </row>
    <row r="26" spans="3:54" ht="15.6" customHeight="1">
      <c r="C26" s="6">
        <v>1</v>
      </c>
      <c r="D26" s="6">
        <v>1</v>
      </c>
      <c r="E26" s="6">
        <v>5</v>
      </c>
      <c r="F26" s="6">
        <v>0</v>
      </c>
      <c r="G26" s="2"/>
      <c r="H26" s="6">
        <v>1</v>
      </c>
      <c r="I26" s="6">
        <v>1</v>
      </c>
      <c r="J26" s="6">
        <v>5</v>
      </c>
      <c r="K26" s="6">
        <v>0</v>
      </c>
      <c r="M26" s="6">
        <v>0</v>
      </c>
      <c r="N26" s="6">
        <v>1</v>
      </c>
      <c r="O26" s="6">
        <v>0</v>
      </c>
      <c r="P26" s="6">
        <v>0</v>
      </c>
      <c r="Q26" s="6">
        <v>0</v>
      </c>
      <c r="R26" s="3"/>
      <c r="S26" s="6">
        <v>1</v>
      </c>
      <c r="T26" s="6">
        <v>1</v>
      </c>
      <c r="U26" s="6">
        <v>1</v>
      </c>
      <c r="V26" s="6">
        <v>1</v>
      </c>
      <c r="W26" s="6">
        <v>0</v>
      </c>
      <c r="X26" s="2"/>
      <c r="Y26" s="3" t="s">
        <v>24</v>
      </c>
      <c r="Z26" s="8">
        <v>1</v>
      </c>
      <c r="AA26" s="8">
        <v>1</v>
      </c>
      <c r="AB26" s="8">
        <v>1</v>
      </c>
      <c r="AC26" s="8">
        <v>1</v>
      </c>
      <c r="AD26" s="8">
        <v>0</v>
      </c>
      <c r="AI26" s="27"/>
      <c r="AJ26" s="34"/>
      <c r="AK26" s="24"/>
      <c r="AP26" s="1" t="s">
        <v>41</v>
      </c>
      <c r="AQ26" s="37">
        <f>cL*Links</f>
        <v>2.4866456605919991</v>
      </c>
    </row>
    <row r="27" spans="3:54">
      <c r="C27" s="6">
        <v>1</v>
      </c>
      <c r="D27" s="6">
        <v>2</v>
      </c>
      <c r="E27" s="6">
        <v>1</v>
      </c>
      <c r="F27" s="6">
        <v>0</v>
      </c>
      <c r="G27" s="2"/>
      <c r="H27" s="6">
        <v>1</v>
      </c>
      <c r="I27" s="6">
        <v>2</v>
      </c>
      <c r="J27" s="6">
        <v>1</v>
      </c>
      <c r="K27" s="6">
        <v>0</v>
      </c>
      <c r="M27" s="6">
        <v>0</v>
      </c>
      <c r="N27" s="6">
        <v>1</v>
      </c>
      <c r="O27" s="6">
        <v>0</v>
      </c>
      <c r="P27" s="6">
        <v>0</v>
      </c>
      <c r="Q27" s="6">
        <v>0</v>
      </c>
      <c r="R27" s="3" t="s">
        <v>15</v>
      </c>
      <c r="S27" s="2"/>
      <c r="T27" s="2"/>
      <c r="U27" s="2"/>
      <c r="V27" s="2"/>
      <c r="W27" s="2"/>
      <c r="X27" s="2"/>
      <c r="AI27" s="25"/>
      <c r="AJ27" s="27"/>
      <c r="AK27" s="24"/>
      <c r="AL27" s="25"/>
      <c r="AM27" s="25"/>
      <c r="AP27" s="1" t="s">
        <v>90</v>
      </c>
      <c r="AQ27" s="53">
        <v>8831</v>
      </c>
      <c r="AR27" s="25"/>
      <c r="AS27" s="25"/>
      <c r="AT27" s="25"/>
      <c r="AU27" s="25"/>
    </row>
    <row r="28" spans="3:54">
      <c r="C28" s="6">
        <v>1</v>
      </c>
      <c r="D28" s="6">
        <v>2</v>
      </c>
      <c r="E28" s="6">
        <v>2</v>
      </c>
      <c r="F28" s="6">
        <v>0</v>
      </c>
      <c r="G28" s="2"/>
      <c r="H28" s="6">
        <v>1</v>
      </c>
      <c r="I28" s="6">
        <v>2</v>
      </c>
      <c r="J28" s="6">
        <v>2</v>
      </c>
      <c r="K28" s="6">
        <v>0</v>
      </c>
      <c r="M28" s="6">
        <v>0</v>
      </c>
      <c r="N28" s="6">
        <v>0</v>
      </c>
      <c r="O28" s="6">
        <v>1</v>
      </c>
      <c r="P28" s="6">
        <v>0</v>
      </c>
      <c r="Q28" s="6">
        <v>0</v>
      </c>
      <c r="R28" s="2"/>
      <c r="S28" s="6">
        <v>0</v>
      </c>
      <c r="T28" s="6">
        <v>0</v>
      </c>
      <c r="U28" s="6">
        <v>0</v>
      </c>
      <c r="V28" s="6">
        <v>1</v>
      </c>
      <c r="W28" s="6">
        <v>0</v>
      </c>
      <c r="X28" s="2"/>
      <c r="Y28" s="3" t="s">
        <v>50</v>
      </c>
      <c r="Z28" s="11" t="s">
        <v>26</v>
      </c>
      <c r="AA28" s="11" t="s">
        <v>27</v>
      </c>
      <c r="AB28" s="11" t="s">
        <v>28</v>
      </c>
      <c r="AC28" s="11" t="s">
        <v>29</v>
      </c>
      <c r="AD28" s="11" t="s">
        <v>30</v>
      </c>
      <c r="AI28" s="25"/>
      <c r="AJ28" s="27"/>
      <c r="AK28" s="24"/>
      <c r="AL28" s="27"/>
      <c r="AM28" s="27"/>
      <c r="AO28" s="21"/>
      <c r="AP28" s="25"/>
      <c r="AQ28" s="26"/>
      <c r="AR28" s="26"/>
      <c r="AS28" s="26"/>
      <c r="AT28" s="26"/>
      <c r="AU28" s="26"/>
    </row>
    <row r="29" spans="3:54">
      <c r="C29" s="6">
        <v>1</v>
      </c>
      <c r="D29" s="6">
        <v>2</v>
      </c>
      <c r="E29" s="6">
        <v>3</v>
      </c>
      <c r="F29" s="6">
        <v>0</v>
      </c>
      <c r="G29" s="2"/>
      <c r="H29" s="6">
        <v>1</v>
      </c>
      <c r="I29" s="6">
        <v>2</v>
      </c>
      <c r="J29" s="6">
        <v>3</v>
      </c>
      <c r="K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R29" s="2"/>
      <c r="S29" s="6">
        <v>0</v>
      </c>
      <c r="T29" s="6">
        <v>0</v>
      </c>
      <c r="U29" s="6">
        <v>0</v>
      </c>
      <c r="V29" s="6">
        <v>1</v>
      </c>
      <c r="W29" s="6">
        <v>0</v>
      </c>
      <c r="X29" s="2"/>
      <c r="Y29" s="1" t="s">
        <v>42</v>
      </c>
      <c r="Z29" s="7">
        <v>0</v>
      </c>
      <c r="AA29" s="7">
        <v>0</v>
      </c>
      <c r="AB29" s="7">
        <v>0</v>
      </c>
      <c r="AC29" s="7">
        <v>1</v>
      </c>
      <c r="AD29" s="7">
        <v>0</v>
      </c>
      <c r="AI29" s="25"/>
      <c r="AJ29" s="27"/>
      <c r="AK29" s="24"/>
      <c r="AL29" s="28"/>
      <c r="AM29" s="28"/>
      <c r="AO29" s="22"/>
      <c r="AP29" s="23"/>
    </row>
    <row r="30" spans="3:54">
      <c r="C30" s="6">
        <v>1</v>
      </c>
      <c r="D30" s="6">
        <v>2</v>
      </c>
      <c r="E30" s="6">
        <v>4</v>
      </c>
      <c r="F30" s="6">
        <v>1</v>
      </c>
      <c r="G30" s="2"/>
      <c r="H30" s="6">
        <v>1</v>
      </c>
      <c r="I30" s="6">
        <v>2</v>
      </c>
      <c r="J30" s="6">
        <v>4</v>
      </c>
      <c r="K30" s="6">
        <v>1</v>
      </c>
      <c r="M30" s="2"/>
      <c r="N30" s="2"/>
      <c r="O30" s="2"/>
      <c r="P30" s="2"/>
      <c r="Q30" s="2"/>
      <c r="R30" s="2"/>
      <c r="S30" s="6">
        <v>0</v>
      </c>
      <c r="T30" s="6">
        <v>0</v>
      </c>
      <c r="U30" s="6">
        <v>1</v>
      </c>
      <c r="V30" s="6">
        <v>0</v>
      </c>
      <c r="W30" s="6">
        <v>0</v>
      </c>
      <c r="X30" s="2"/>
      <c r="Y30" s="1" t="s">
        <v>43</v>
      </c>
      <c r="Z30" s="7">
        <v>0</v>
      </c>
      <c r="AA30" s="7">
        <v>0</v>
      </c>
      <c r="AB30" s="7">
        <v>0</v>
      </c>
      <c r="AC30" s="7">
        <v>1</v>
      </c>
      <c r="AD30" s="7">
        <v>0</v>
      </c>
      <c r="AG30">
        <v>3.32</v>
      </c>
      <c r="AH30">
        <v>3.32</v>
      </c>
      <c r="AI30" s="25">
        <v>3.32</v>
      </c>
      <c r="AJ30" s="27">
        <v>3.32</v>
      </c>
      <c r="AK30" s="24">
        <v>3.32</v>
      </c>
      <c r="AL30" s="28"/>
      <c r="AM30" s="28"/>
      <c r="AO30" s="22"/>
      <c r="AP30" s="23"/>
    </row>
    <row r="31" spans="3:54">
      <c r="C31" s="6">
        <v>1</v>
      </c>
      <c r="D31" s="6">
        <v>2</v>
      </c>
      <c r="E31" s="6">
        <v>5</v>
      </c>
      <c r="F31" s="6">
        <v>0</v>
      </c>
      <c r="G31" s="2"/>
      <c r="H31" s="6">
        <v>1</v>
      </c>
      <c r="I31" s="6">
        <v>2</v>
      </c>
      <c r="J31" s="6">
        <v>5</v>
      </c>
      <c r="K31" s="6">
        <v>0</v>
      </c>
      <c r="M31" s="54" t="s">
        <v>89</v>
      </c>
      <c r="N31" s="54"/>
      <c r="O31" s="54"/>
      <c r="P31" s="54"/>
      <c r="Q31" s="54"/>
      <c r="R31" s="2"/>
      <c r="S31" s="6">
        <v>0</v>
      </c>
      <c r="T31" s="6">
        <v>1</v>
      </c>
      <c r="U31" s="6">
        <v>0</v>
      </c>
      <c r="V31" s="6">
        <v>0</v>
      </c>
      <c r="W31" s="6">
        <v>0</v>
      </c>
      <c r="X31" s="2"/>
      <c r="Y31" s="1" t="s">
        <v>44</v>
      </c>
      <c r="Z31" s="7">
        <v>0</v>
      </c>
      <c r="AA31" s="7">
        <v>0</v>
      </c>
      <c r="AB31" s="7">
        <v>1</v>
      </c>
      <c r="AC31" s="7">
        <v>0</v>
      </c>
      <c r="AD31" s="7">
        <v>0</v>
      </c>
      <c r="AG31">
        <v>4.1500000000000004</v>
      </c>
      <c r="AH31">
        <v>4.1500000000000004</v>
      </c>
      <c r="AI31" s="25">
        <v>4.1500000000000004</v>
      </c>
      <c r="AJ31" s="27">
        <v>4.1500000000000004</v>
      </c>
      <c r="AK31" s="24">
        <v>4.1500000000000004</v>
      </c>
      <c r="AL31" s="28"/>
      <c r="AM31" s="28"/>
      <c r="AO31" s="22"/>
      <c r="AP31" s="23"/>
    </row>
    <row r="32" spans="3:54">
      <c r="C32" s="6">
        <v>1</v>
      </c>
      <c r="D32" s="6">
        <v>3</v>
      </c>
      <c r="E32" s="6">
        <v>1</v>
      </c>
      <c r="F32" s="6">
        <v>0</v>
      </c>
      <c r="G32" s="2"/>
      <c r="H32" s="6">
        <v>1</v>
      </c>
      <c r="I32" s="6">
        <v>3</v>
      </c>
      <c r="J32" s="6">
        <v>1</v>
      </c>
      <c r="K32" s="6">
        <v>0</v>
      </c>
      <c r="M32" s="2" t="s">
        <v>84</v>
      </c>
      <c r="N32" s="2" t="s">
        <v>85</v>
      </c>
      <c r="O32" s="2" t="s">
        <v>86</v>
      </c>
      <c r="P32" s="2" t="s">
        <v>87</v>
      </c>
      <c r="Q32" s="2" t="s">
        <v>88</v>
      </c>
      <c r="R32" s="2"/>
      <c r="S32" s="6">
        <v>0</v>
      </c>
      <c r="T32" s="6">
        <v>1</v>
      </c>
      <c r="U32" s="6">
        <v>0</v>
      </c>
      <c r="V32" s="6">
        <v>0</v>
      </c>
      <c r="W32" s="6">
        <v>0</v>
      </c>
      <c r="X32" s="2"/>
      <c r="Y32" s="1" t="s">
        <v>45</v>
      </c>
      <c r="Z32" s="7">
        <v>0</v>
      </c>
      <c r="AA32" s="7">
        <v>0</v>
      </c>
      <c r="AB32" s="7">
        <v>0</v>
      </c>
      <c r="AC32" s="7">
        <v>0</v>
      </c>
      <c r="AD32" s="7">
        <v>0</v>
      </c>
      <c r="AG32">
        <v>0.47</v>
      </c>
      <c r="AH32">
        <v>0.47</v>
      </c>
      <c r="AI32" s="25">
        <v>0.47</v>
      </c>
      <c r="AJ32" s="27">
        <v>0.47</v>
      </c>
      <c r="AK32" s="24">
        <v>0.47</v>
      </c>
      <c r="AL32" s="28"/>
      <c r="AM32" s="28"/>
      <c r="AO32" s="22"/>
      <c r="AP32" s="23"/>
    </row>
    <row r="33" spans="3:42">
      <c r="C33" s="6">
        <v>1</v>
      </c>
      <c r="D33" s="6">
        <v>3</v>
      </c>
      <c r="E33" s="6">
        <v>2</v>
      </c>
      <c r="F33" s="6">
        <v>0</v>
      </c>
      <c r="G33" s="2"/>
      <c r="H33" s="6">
        <v>1</v>
      </c>
      <c r="I33" s="6">
        <v>3</v>
      </c>
      <c r="J33" s="6">
        <v>2</v>
      </c>
      <c r="K33" s="6">
        <v>0</v>
      </c>
      <c r="M33" s="51">
        <v>1</v>
      </c>
      <c r="N33" s="51">
        <v>1</v>
      </c>
      <c r="O33" s="51">
        <v>1</v>
      </c>
      <c r="P33" s="51">
        <v>1</v>
      </c>
      <c r="Q33" s="51">
        <v>1</v>
      </c>
      <c r="R33" s="2"/>
      <c r="S33" s="6">
        <v>0</v>
      </c>
      <c r="T33" s="6">
        <v>1</v>
      </c>
      <c r="U33" s="6">
        <v>0</v>
      </c>
      <c r="V33" s="6">
        <v>0</v>
      </c>
      <c r="W33" s="6">
        <v>0</v>
      </c>
      <c r="X33" s="2"/>
      <c r="Y33" s="1" t="s">
        <v>46</v>
      </c>
      <c r="Z33" s="7">
        <v>0</v>
      </c>
      <c r="AA33" s="7">
        <v>0</v>
      </c>
      <c r="AB33" s="7">
        <v>0</v>
      </c>
      <c r="AC33" s="7">
        <v>0</v>
      </c>
      <c r="AD33" s="7">
        <v>0</v>
      </c>
      <c r="AG33">
        <v>5.93</v>
      </c>
      <c r="AH33">
        <v>5.93</v>
      </c>
      <c r="AI33" s="25">
        <v>5.93</v>
      </c>
      <c r="AJ33" s="27">
        <v>5.93</v>
      </c>
      <c r="AK33" s="24">
        <v>5.93</v>
      </c>
      <c r="AL33" s="28"/>
      <c r="AM33" s="28"/>
      <c r="AO33" s="22"/>
      <c r="AP33" s="23"/>
    </row>
    <row r="34" spans="3:42">
      <c r="C34" s="6">
        <v>1</v>
      </c>
      <c r="D34" s="6">
        <v>3</v>
      </c>
      <c r="E34" s="6">
        <v>3</v>
      </c>
      <c r="F34" s="6">
        <v>1</v>
      </c>
      <c r="G34" s="2"/>
      <c r="H34" s="6">
        <v>1</v>
      </c>
      <c r="I34" s="6">
        <v>3</v>
      </c>
      <c r="J34" s="6">
        <v>3</v>
      </c>
      <c r="K34" s="6">
        <v>1</v>
      </c>
      <c r="M34" s="2"/>
      <c r="N34" s="2"/>
      <c r="O34" s="2"/>
      <c r="P34" s="2"/>
      <c r="Q34" s="2"/>
      <c r="R34" s="2"/>
      <c r="S34" s="6">
        <v>0</v>
      </c>
      <c r="T34" s="6">
        <v>0</v>
      </c>
      <c r="U34" s="6">
        <v>1</v>
      </c>
      <c r="V34" s="6">
        <v>0</v>
      </c>
      <c r="W34" s="6">
        <v>0</v>
      </c>
      <c r="X34" s="2"/>
      <c r="Y34" s="1" t="s">
        <v>47</v>
      </c>
      <c r="Z34" s="7">
        <v>0</v>
      </c>
      <c r="AA34" s="7">
        <v>0</v>
      </c>
      <c r="AB34" s="7">
        <v>0</v>
      </c>
      <c r="AC34" s="7">
        <v>0</v>
      </c>
      <c r="AD34" s="7">
        <v>0</v>
      </c>
      <c r="AG34">
        <v>7.7</v>
      </c>
      <c r="AH34">
        <v>7.7</v>
      </c>
      <c r="AI34" s="25">
        <v>7.7</v>
      </c>
      <c r="AJ34" s="27">
        <v>7.7</v>
      </c>
      <c r="AK34" s="24">
        <v>7.7</v>
      </c>
      <c r="AL34" s="28"/>
      <c r="AM34" s="28"/>
      <c r="AP34" s="21"/>
    </row>
    <row r="35" spans="3:42">
      <c r="C35" s="6">
        <v>1</v>
      </c>
      <c r="D35" s="6">
        <v>3</v>
      </c>
      <c r="E35" s="6">
        <v>4</v>
      </c>
      <c r="F35" s="6">
        <v>0</v>
      </c>
      <c r="G35" s="2"/>
      <c r="H35" s="6">
        <v>1</v>
      </c>
      <c r="I35" s="6">
        <v>3</v>
      </c>
      <c r="J35" s="6">
        <v>4</v>
      </c>
      <c r="K35" s="6">
        <v>0</v>
      </c>
      <c r="M35" s="2"/>
      <c r="N35" s="2"/>
      <c r="O35" s="2"/>
      <c r="P35" s="2"/>
      <c r="Q35" s="2"/>
      <c r="R35" s="2"/>
      <c r="S35" s="6">
        <v>1</v>
      </c>
      <c r="T35" s="6">
        <v>0</v>
      </c>
      <c r="U35" s="6">
        <v>0</v>
      </c>
      <c r="V35" s="6">
        <v>0</v>
      </c>
      <c r="W35" s="6">
        <v>0</v>
      </c>
      <c r="X35" s="2"/>
      <c r="Y35" s="1" t="s">
        <v>48</v>
      </c>
      <c r="Z35" s="7">
        <v>0</v>
      </c>
      <c r="AA35" s="7">
        <v>0</v>
      </c>
      <c r="AB35" s="7">
        <v>1</v>
      </c>
      <c r="AC35" s="7">
        <v>0</v>
      </c>
      <c r="AD35" s="7">
        <v>0</v>
      </c>
      <c r="AG35">
        <v>1.42</v>
      </c>
      <c r="AH35">
        <v>1.42</v>
      </c>
      <c r="AI35" s="24">
        <v>1.42</v>
      </c>
      <c r="AJ35" s="24">
        <v>1.42</v>
      </c>
      <c r="AK35" s="25">
        <v>1.42</v>
      </c>
      <c r="AL35" s="28"/>
      <c r="AM35" s="28"/>
    </row>
    <row r="36" spans="3:42">
      <c r="C36" s="6">
        <v>1</v>
      </c>
      <c r="D36" s="6">
        <v>3</v>
      </c>
      <c r="E36" s="6">
        <v>5</v>
      </c>
      <c r="F36" s="6">
        <v>0</v>
      </c>
      <c r="G36" s="2"/>
      <c r="H36" s="6">
        <v>1</v>
      </c>
      <c r="I36" s="6">
        <v>3</v>
      </c>
      <c r="J36" s="6">
        <v>5</v>
      </c>
      <c r="K36" s="6">
        <v>0</v>
      </c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1" t="s">
        <v>49</v>
      </c>
      <c r="Z36" s="7">
        <v>1</v>
      </c>
      <c r="AA36" s="7">
        <v>0</v>
      </c>
      <c r="AB36" s="7">
        <v>0</v>
      </c>
      <c r="AC36" s="7">
        <v>0</v>
      </c>
      <c r="AD36" s="7">
        <v>0</v>
      </c>
      <c r="AG36">
        <v>0.47</v>
      </c>
      <c r="AH36">
        <v>0.47</v>
      </c>
      <c r="AI36">
        <v>0.47</v>
      </c>
      <c r="AJ36">
        <v>0.47</v>
      </c>
      <c r="AK36" s="25">
        <v>0.47</v>
      </c>
      <c r="AL36" s="28"/>
      <c r="AM36" s="28"/>
    </row>
    <row r="37" spans="3:42">
      <c r="C37" s="6">
        <v>2</v>
      </c>
      <c r="D37" s="6">
        <v>1</v>
      </c>
      <c r="E37" s="6">
        <v>1</v>
      </c>
      <c r="F37" s="6">
        <v>0</v>
      </c>
      <c r="G37" s="2"/>
      <c r="H37" s="6">
        <v>1</v>
      </c>
      <c r="I37" s="6">
        <v>4</v>
      </c>
      <c r="J37" s="6">
        <v>1</v>
      </c>
      <c r="K37" s="6">
        <v>0</v>
      </c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AG37">
        <v>1.07</v>
      </c>
      <c r="AH37">
        <v>1.07</v>
      </c>
      <c r="AI37">
        <v>1.07</v>
      </c>
      <c r="AJ37">
        <v>1.07</v>
      </c>
      <c r="AK37">
        <v>1.07</v>
      </c>
    </row>
    <row r="38" spans="3:42">
      <c r="C38" s="6">
        <v>2</v>
      </c>
      <c r="D38" s="6">
        <v>1</v>
      </c>
      <c r="E38" s="6">
        <v>2</v>
      </c>
      <c r="F38" s="6">
        <v>1</v>
      </c>
      <c r="G38" s="2"/>
      <c r="H38" s="6">
        <v>1</v>
      </c>
      <c r="I38" s="6">
        <v>4</v>
      </c>
      <c r="J38" s="6">
        <v>2</v>
      </c>
      <c r="K38" s="6">
        <v>0</v>
      </c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3" t="s">
        <v>51</v>
      </c>
      <c r="Z38" s="11" t="s">
        <v>26</v>
      </c>
      <c r="AA38" s="11" t="s">
        <v>27</v>
      </c>
      <c r="AB38" s="11" t="s">
        <v>28</v>
      </c>
      <c r="AC38" s="11" t="s">
        <v>29</v>
      </c>
      <c r="AD38" s="11" t="s">
        <v>30</v>
      </c>
    </row>
    <row r="39" spans="3:42">
      <c r="C39" s="6">
        <v>2</v>
      </c>
      <c r="D39" s="6">
        <v>1</v>
      </c>
      <c r="E39" s="6">
        <v>3</v>
      </c>
      <c r="F39" s="6">
        <v>0</v>
      </c>
      <c r="G39" s="2"/>
      <c r="H39" s="6">
        <v>1</v>
      </c>
      <c r="I39" s="6">
        <v>4</v>
      </c>
      <c r="J39" s="6">
        <v>3</v>
      </c>
      <c r="K39" s="6">
        <v>0</v>
      </c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1" t="s">
        <v>42</v>
      </c>
      <c r="Z39" s="7">
        <v>0</v>
      </c>
      <c r="AA39" s="7">
        <v>0</v>
      </c>
      <c r="AB39" s="7">
        <v>0</v>
      </c>
      <c r="AC39" s="7">
        <v>1</v>
      </c>
      <c r="AD39" s="7">
        <v>0</v>
      </c>
    </row>
    <row r="40" spans="3:42">
      <c r="C40" s="6">
        <v>2</v>
      </c>
      <c r="D40" s="6">
        <v>1</v>
      </c>
      <c r="E40" s="6">
        <v>4</v>
      </c>
      <c r="F40" s="6">
        <v>0</v>
      </c>
      <c r="G40" s="2"/>
      <c r="H40" s="6">
        <v>1</v>
      </c>
      <c r="I40" s="6">
        <v>4</v>
      </c>
      <c r="J40" s="6">
        <v>4</v>
      </c>
      <c r="K40" s="6">
        <v>0</v>
      </c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1" t="s">
        <v>43</v>
      </c>
      <c r="Z40" s="7">
        <v>0</v>
      </c>
      <c r="AA40" s="7">
        <v>0</v>
      </c>
      <c r="AB40" s="7">
        <v>0</v>
      </c>
      <c r="AC40" s="7">
        <v>1</v>
      </c>
      <c r="AD40" s="7">
        <v>0</v>
      </c>
    </row>
    <row r="41" spans="3:42">
      <c r="C41" s="6">
        <v>2</v>
      </c>
      <c r="D41" s="6">
        <v>1</v>
      </c>
      <c r="E41" s="6">
        <v>5</v>
      </c>
      <c r="F41" s="6">
        <v>0</v>
      </c>
      <c r="G41" s="2"/>
      <c r="H41" s="6">
        <v>1</v>
      </c>
      <c r="I41" s="6">
        <v>4</v>
      </c>
      <c r="J41" s="6">
        <v>5</v>
      </c>
      <c r="K41" s="6">
        <v>0</v>
      </c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1" t="s">
        <v>44</v>
      </c>
      <c r="Z41" s="7">
        <v>0</v>
      </c>
      <c r="AA41" s="7">
        <v>0</v>
      </c>
      <c r="AB41" s="7">
        <v>1</v>
      </c>
      <c r="AC41" s="7">
        <v>0</v>
      </c>
      <c r="AD41" s="7">
        <v>0</v>
      </c>
    </row>
    <row r="42" spans="3:42">
      <c r="C42" s="6">
        <v>2</v>
      </c>
      <c r="D42" s="6">
        <v>2</v>
      </c>
      <c r="E42" s="6">
        <v>1</v>
      </c>
      <c r="F42" s="6">
        <v>0</v>
      </c>
      <c r="G42" s="2"/>
      <c r="H42" s="6">
        <v>1</v>
      </c>
      <c r="I42" s="6">
        <v>5</v>
      </c>
      <c r="J42" s="6">
        <v>1</v>
      </c>
      <c r="K42" s="6">
        <v>0</v>
      </c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1" t="s">
        <v>45</v>
      </c>
      <c r="Z42" s="7">
        <v>0</v>
      </c>
      <c r="AA42" s="7">
        <v>0</v>
      </c>
      <c r="AB42" s="7">
        <v>0</v>
      </c>
      <c r="AC42" s="7">
        <v>0</v>
      </c>
      <c r="AD42" s="7">
        <v>0</v>
      </c>
    </row>
    <row r="43" spans="3:42">
      <c r="C43" s="6">
        <v>2</v>
      </c>
      <c r="D43" s="6">
        <v>2</v>
      </c>
      <c r="E43" s="6">
        <v>2</v>
      </c>
      <c r="F43" s="6">
        <v>1</v>
      </c>
      <c r="G43" s="2"/>
      <c r="H43" s="6">
        <v>1</v>
      </c>
      <c r="I43" s="6">
        <v>5</v>
      </c>
      <c r="J43" s="6">
        <v>2</v>
      </c>
      <c r="K43" s="6">
        <v>0</v>
      </c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1" t="s">
        <v>46</v>
      </c>
      <c r="Z43" s="7">
        <v>0</v>
      </c>
      <c r="AA43" s="7">
        <v>0</v>
      </c>
      <c r="AB43" s="7">
        <v>0</v>
      </c>
      <c r="AC43" s="7">
        <v>0</v>
      </c>
      <c r="AD43" s="7">
        <v>0</v>
      </c>
    </row>
    <row r="44" spans="3:42">
      <c r="C44" s="6">
        <v>2</v>
      </c>
      <c r="D44" s="6">
        <v>2</v>
      </c>
      <c r="E44" s="6">
        <v>3</v>
      </c>
      <c r="F44" s="6">
        <v>0</v>
      </c>
      <c r="G44" s="2"/>
      <c r="H44" s="6">
        <v>1</v>
      </c>
      <c r="I44" s="6">
        <v>5</v>
      </c>
      <c r="J44" s="6">
        <v>3</v>
      </c>
      <c r="K44" s="6">
        <v>0</v>
      </c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1" t="s">
        <v>47</v>
      </c>
      <c r="Z44" s="7">
        <v>0</v>
      </c>
      <c r="AA44" s="7">
        <v>0</v>
      </c>
      <c r="AB44" s="7">
        <v>0</v>
      </c>
      <c r="AC44" s="7">
        <v>0</v>
      </c>
      <c r="AD44" s="7">
        <v>0</v>
      </c>
    </row>
    <row r="45" spans="3:42">
      <c r="C45" s="6">
        <v>2</v>
      </c>
      <c r="D45" s="6">
        <v>2</v>
      </c>
      <c r="E45" s="6">
        <v>4</v>
      </c>
      <c r="F45" s="6">
        <v>0</v>
      </c>
      <c r="G45" s="2"/>
      <c r="H45" s="6">
        <v>1</v>
      </c>
      <c r="I45" s="6">
        <v>5</v>
      </c>
      <c r="J45" s="6">
        <v>4</v>
      </c>
      <c r="K45" s="6">
        <v>0</v>
      </c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1" t="s">
        <v>48</v>
      </c>
      <c r="Z45" s="7">
        <v>0</v>
      </c>
      <c r="AA45" s="7">
        <v>0</v>
      </c>
      <c r="AB45" s="7">
        <v>1</v>
      </c>
      <c r="AC45" s="7">
        <v>0</v>
      </c>
      <c r="AD45" s="7">
        <v>0</v>
      </c>
    </row>
    <row r="46" spans="3:42">
      <c r="C46" s="6">
        <v>2</v>
      </c>
      <c r="D46" s="6">
        <v>2</v>
      </c>
      <c r="E46" s="6">
        <v>5</v>
      </c>
      <c r="F46" s="6">
        <v>0</v>
      </c>
      <c r="G46" s="2"/>
      <c r="H46" s="6">
        <v>1</v>
      </c>
      <c r="I46" s="6">
        <v>5</v>
      </c>
      <c r="J46" s="6">
        <v>5</v>
      </c>
      <c r="K46" s="6">
        <v>0</v>
      </c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1" t="s">
        <v>49</v>
      </c>
      <c r="Z46" s="7">
        <v>0</v>
      </c>
      <c r="AA46" s="7">
        <v>0</v>
      </c>
      <c r="AB46" s="7">
        <v>0</v>
      </c>
      <c r="AC46" s="7">
        <v>0</v>
      </c>
      <c r="AD46" s="7">
        <v>0</v>
      </c>
    </row>
    <row r="47" spans="3:42">
      <c r="C47" s="6">
        <v>2</v>
      </c>
      <c r="D47" s="6">
        <v>3</v>
      </c>
      <c r="E47" s="6">
        <v>1</v>
      </c>
      <c r="F47" s="6">
        <v>0</v>
      </c>
      <c r="G47" s="2"/>
      <c r="H47" s="6">
        <v>1</v>
      </c>
      <c r="I47" s="6">
        <v>6</v>
      </c>
      <c r="J47" s="6">
        <v>1</v>
      </c>
      <c r="K47" s="6">
        <v>0</v>
      </c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</row>
    <row r="48" spans="3:42">
      <c r="C48" s="6">
        <v>2</v>
      </c>
      <c r="D48" s="6">
        <v>3</v>
      </c>
      <c r="E48" s="6">
        <v>2</v>
      </c>
      <c r="F48" s="6">
        <v>0</v>
      </c>
      <c r="G48" s="2"/>
      <c r="H48" s="6">
        <v>1</v>
      </c>
      <c r="I48" s="6">
        <v>6</v>
      </c>
      <c r="J48" s="6">
        <v>2</v>
      </c>
      <c r="K48" s="6">
        <v>0</v>
      </c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</row>
    <row r="49" spans="3:28">
      <c r="C49" s="6">
        <v>2</v>
      </c>
      <c r="D49" s="6">
        <v>3</v>
      </c>
      <c r="E49" s="6">
        <v>3</v>
      </c>
      <c r="F49" s="6">
        <v>0</v>
      </c>
      <c r="G49" s="2"/>
      <c r="H49" s="6">
        <v>1</v>
      </c>
      <c r="I49" s="6">
        <v>6</v>
      </c>
      <c r="J49" s="6">
        <v>3</v>
      </c>
      <c r="K49" s="6">
        <v>0</v>
      </c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</row>
    <row r="50" spans="3:28">
      <c r="C50" s="6">
        <v>2</v>
      </c>
      <c r="D50" s="6">
        <v>3</v>
      </c>
      <c r="E50" s="6">
        <v>4</v>
      </c>
      <c r="F50" s="6">
        <v>1</v>
      </c>
      <c r="G50" s="2"/>
      <c r="H50" s="6">
        <v>1</v>
      </c>
      <c r="I50" s="6">
        <v>6</v>
      </c>
      <c r="J50" s="6">
        <v>4</v>
      </c>
      <c r="K50" s="6">
        <v>0</v>
      </c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</row>
    <row r="51" spans="3:28">
      <c r="C51" s="6">
        <v>2</v>
      </c>
      <c r="D51" s="6">
        <v>3</v>
      </c>
      <c r="E51" s="6">
        <v>5</v>
      </c>
      <c r="F51" s="6">
        <v>0</v>
      </c>
      <c r="G51" s="2"/>
      <c r="H51" s="6">
        <v>1</v>
      </c>
      <c r="I51" s="6">
        <v>6</v>
      </c>
      <c r="J51" s="6">
        <v>5</v>
      </c>
      <c r="K51" s="6">
        <v>0</v>
      </c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</row>
    <row r="52" spans="3:28">
      <c r="C52" s="6">
        <v>3</v>
      </c>
      <c r="D52" s="6">
        <v>1</v>
      </c>
      <c r="E52" s="6">
        <v>1</v>
      </c>
      <c r="F52" s="6">
        <v>0</v>
      </c>
      <c r="G52" s="2"/>
      <c r="H52" s="6">
        <v>1</v>
      </c>
      <c r="I52" s="6">
        <v>7</v>
      </c>
      <c r="J52" s="6">
        <v>1</v>
      </c>
      <c r="K52" s="6">
        <v>0</v>
      </c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</row>
    <row r="53" spans="3:28">
      <c r="C53" s="6">
        <v>3</v>
      </c>
      <c r="D53" s="6">
        <v>1</v>
      </c>
      <c r="E53" s="6">
        <v>2</v>
      </c>
      <c r="F53" s="6">
        <v>1</v>
      </c>
      <c r="G53" s="2"/>
      <c r="H53" s="6">
        <v>1</v>
      </c>
      <c r="I53" s="6">
        <v>7</v>
      </c>
      <c r="J53" s="6">
        <v>2</v>
      </c>
      <c r="K53" s="6">
        <v>0</v>
      </c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</row>
    <row r="54" spans="3:28">
      <c r="C54" s="6">
        <v>3</v>
      </c>
      <c r="D54" s="6">
        <v>1</v>
      </c>
      <c r="E54" s="6">
        <v>3</v>
      </c>
      <c r="F54" s="6">
        <v>0</v>
      </c>
      <c r="G54" s="2"/>
      <c r="H54" s="6">
        <v>1</v>
      </c>
      <c r="I54" s="6">
        <v>7</v>
      </c>
      <c r="J54" s="6">
        <v>3</v>
      </c>
      <c r="K54" s="6">
        <v>0</v>
      </c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</row>
    <row r="55" spans="3:28">
      <c r="C55" s="6">
        <v>3</v>
      </c>
      <c r="D55" s="6">
        <v>1</v>
      </c>
      <c r="E55" s="6">
        <v>4</v>
      </c>
      <c r="F55" s="6">
        <v>0</v>
      </c>
      <c r="G55" s="2"/>
      <c r="H55" s="6">
        <v>1</v>
      </c>
      <c r="I55" s="6">
        <v>7</v>
      </c>
      <c r="J55" s="6">
        <v>4</v>
      </c>
      <c r="K55" s="6">
        <v>0</v>
      </c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</row>
    <row r="56" spans="3:28">
      <c r="C56" s="6">
        <v>3</v>
      </c>
      <c r="D56" s="6">
        <v>1</v>
      </c>
      <c r="E56" s="6">
        <v>5</v>
      </c>
      <c r="F56" s="6">
        <v>0</v>
      </c>
      <c r="G56" s="2"/>
      <c r="H56" s="6">
        <v>1</v>
      </c>
      <c r="I56" s="6">
        <v>7</v>
      </c>
      <c r="J56" s="6">
        <v>5</v>
      </c>
      <c r="K56" s="6">
        <v>0</v>
      </c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</row>
    <row r="57" spans="3:28">
      <c r="C57" s="6">
        <v>3</v>
      </c>
      <c r="D57" s="6">
        <v>2</v>
      </c>
      <c r="E57" s="6">
        <v>1</v>
      </c>
      <c r="F57" s="6">
        <v>0</v>
      </c>
      <c r="G57" s="2"/>
      <c r="H57" s="6">
        <v>1</v>
      </c>
      <c r="I57" s="6">
        <v>8</v>
      </c>
      <c r="J57" s="6">
        <v>1</v>
      </c>
      <c r="K57" s="6">
        <v>0</v>
      </c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</row>
    <row r="58" spans="3:28">
      <c r="C58" s="6">
        <v>3</v>
      </c>
      <c r="D58" s="6">
        <v>2</v>
      </c>
      <c r="E58" s="6">
        <v>2</v>
      </c>
      <c r="F58" s="6">
        <v>0</v>
      </c>
      <c r="G58" s="2"/>
      <c r="H58" s="6">
        <v>1</v>
      </c>
      <c r="I58" s="6">
        <v>8</v>
      </c>
      <c r="J58" s="6">
        <v>2</v>
      </c>
      <c r="K58" s="6">
        <v>0</v>
      </c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</row>
    <row r="59" spans="3:28">
      <c r="C59" s="6">
        <v>3</v>
      </c>
      <c r="D59" s="6">
        <v>2</v>
      </c>
      <c r="E59" s="6">
        <v>3</v>
      </c>
      <c r="F59" s="6">
        <v>0</v>
      </c>
      <c r="G59" s="2"/>
      <c r="H59" s="6">
        <v>1</v>
      </c>
      <c r="I59" s="6">
        <v>8</v>
      </c>
      <c r="J59" s="6">
        <v>3</v>
      </c>
      <c r="K59" s="6">
        <v>0</v>
      </c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</row>
    <row r="60" spans="3:28">
      <c r="C60" s="6">
        <v>3</v>
      </c>
      <c r="D60" s="6">
        <v>2</v>
      </c>
      <c r="E60" s="6">
        <v>4</v>
      </c>
      <c r="F60" s="6">
        <v>1</v>
      </c>
      <c r="G60" s="2"/>
      <c r="H60" s="6">
        <v>1</v>
      </c>
      <c r="I60" s="6">
        <v>8</v>
      </c>
      <c r="J60" s="6">
        <v>4</v>
      </c>
      <c r="K60" s="6">
        <v>0</v>
      </c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</row>
    <row r="61" spans="3:28">
      <c r="C61" s="6">
        <v>3</v>
      </c>
      <c r="D61" s="6">
        <v>2</v>
      </c>
      <c r="E61" s="6">
        <v>5</v>
      </c>
      <c r="F61" s="6">
        <v>0</v>
      </c>
      <c r="G61" s="2"/>
      <c r="H61" s="6">
        <v>1</v>
      </c>
      <c r="I61" s="6">
        <v>8</v>
      </c>
      <c r="J61" s="6">
        <v>5</v>
      </c>
      <c r="K61" s="6">
        <v>0</v>
      </c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</row>
    <row r="62" spans="3:28">
      <c r="C62" s="6">
        <v>3</v>
      </c>
      <c r="D62" s="6">
        <v>3</v>
      </c>
      <c r="E62" s="6">
        <v>1</v>
      </c>
      <c r="F62" s="6">
        <v>0</v>
      </c>
      <c r="G62" s="2"/>
      <c r="H62" s="6">
        <v>2</v>
      </c>
      <c r="I62" s="6">
        <v>1</v>
      </c>
      <c r="J62" s="6">
        <v>1</v>
      </c>
      <c r="K62" s="6">
        <v>0</v>
      </c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</row>
    <row r="63" spans="3:28">
      <c r="C63" s="6">
        <v>3</v>
      </c>
      <c r="D63" s="6">
        <v>3</v>
      </c>
      <c r="E63" s="6">
        <v>2</v>
      </c>
      <c r="F63" s="6">
        <v>0</v>
      </c>
      <c r="G63" s="2"/>
      <c r="H63" s="6">
        <v>2</v>
      </c>
      <c r="I63" s="6">
        <v>1</v>
      </c>
      <c r="J63" s="6">
        <v>2</v>
      </c>
      <c r="K63" s="6">
        <v>0</v>
      </c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</row>
    <row r="64" spans="3:28">
      <c r="C64" s="6">
        <v>3</v>
      </c>
      <c r="D64" s="6">
        <v>3</v>
      </c>
      <c r="E64" s="6">
        <v>3</v>
      </c>
      <c r="F64" s="6">
        <v>1</v>
      </c>
      <c r="G64" s="2"/>
      <c r="H64" s="6">
        <v>2</v>
      </c>
      <c r="I64" s="6">
        <v>1</v>
      </c>
      <c r="J64" s="6">
        <v>3</v>
      </c>
      <c r="K64" s="6">
        <v>0</v>
      </c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</row>
    <row r="65" spans="3:28">
      <c r="C65" s="6">
        <v>3</v>
      </c>
      <c r="D65" s="6">
        <v>3</v>
      </c>
      <c r="E65" s="6">
        <v>4</v>
      </c>
      <c r="F65" s="6">
        <v>0</v>
      </c>
      <c r="G65" s="2"/>
      <c r="H65" s="6">
        <v>2</v>
      </c>
      <c r="I65" s="6">
        <v>1</v>
      </c>
      <c r="J65" s="6">
        <v>4</v>
      </c>
      <c r="K65" s="6">
        <v>0</v>
      </c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</row>
    <row r="66" spans="3:28">
      <c r="C66" s="6">
        <v>3</v>
      </c>
      <c r="D66" s="6">
        <v>3</v>
      </c>
      <c r="E66" s="6">
        <v>5</v>
      </c>
      <c r="F66" s="6">
        <v>0</v>
      </c>
      <c r="G66" s="2"/>
      <c r="H66" s="6">
        <v>2</v>
      </c>
      <c r="I66" s="6">
        <v>1</v>
      </c>
      <c r="J66" s="6">
        <v>5</v>
      </c>
      <c r="K66" s="6">
        <v>0</v>
      </c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</row>
    <row r="67" spans="3:28">
      <c r="C67" s="6">
        <v>4</v>
      </c>
      <c r="D67" s="6">
        <v>1</v>
      </c>
      <c r="E67" s="6">
        <v>1</v>
      </c>
      <c r="F67" s="6">
        <v>1</v>
      </c>
      <c r="G67" s="2"/>
      <c r="H67" s="6">
        <v>2</v>
      </c>
      <c r="I67" s="6">
        <v>2</v>
      </c>
      <c r="J67" s="6">
        <v>1</v>
      </c>
      <c r="K67" s="6">
        <v>0</v>
      </c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</row>
    <row r="68" spans="3:28">
      <c r="C68" s="6">
        <v>4</v>
      </c>
      <c r="D68" s="6">
        <v>1</v>
      </c>
      <c r="E68" s="6">
        <v>2</v>
      </c>
      <c r="F68" s="6">
        <v>0</v>
      </c>
      <c r="G68" s="2"/>
      <c r="H68" s="6">
        <v>2</v>
      </c>
      <c r="I68" s="6">
        <v>2</v>
      </c>
      <c r="J68" s="6">
        <v>2</v>
      </c>
      <c r="K68" s="6">
        <v>0</v>
      </c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</row>
    <row r="69" spans="3:28">
      <c r="C69" s="6">
        <v>4</v>
      </c>
      <c r="D69" s="6">
        <v>1</v>
      </c>
      <c r="E69" s="6">
        <v>3</v>
      </c>
      <c r="F69" s="6">
        <v>0</v>
      </c>
      <c r="G69" s="2"/>
      <c r="H69" s="6">
        <v>2</v>
      </c>
      <c r="I69" s="6">
        <v>2</v>
      </c>
      <c r="J69" s="6">
        <v>3</v>
      </c>
      <c r="K69" s="6">
        <v>0</v>
      </c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</row>
    <row r="70" spans="3:28">
      <c r="C70" s="6">
        <v>4</v>
      </c>
      <c r="D70" s="6">
        <v>1</v>
      </c>
      <c r="E70" s="6">
        <v>4</v>
      </c>
      <c r="F70" s="6">
        <v>0</v>
      </c>
      <c r="G70" s="2"/>
      <c r="H70" s="6">
        <v>2</v>
      </c>
      <c r="I70" s="6">
        <v>2</v>
      </c>
      <c r="J70" s="6">
        <v>4</v>
      </c>
      <c r="K70" s="6">
        <v>1</v>
      </c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</row>
    <row r="71" spans="3:28">
      <c r="C71" s="6">
        <v>4</v>
      </c>
      <c r="D71" s="6">
        <v>1</v>
      </c>
      <c r="E71" s="6">
        <v>5</v>
      </c>
      <c r="F71" s="6">
        <v>0</v>
      </c>
      <c r="G71" s="2"/>
      <c r="H71" s="6">
        <v>2</v>
      </c>
      <c r="I71" s="6">
        <v>2</v>
      </c>
      <c r="J71" s="6">
        <v>5</v>
      </c>
      <c r="K71" s="6">
        <v>0</v>
      </c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</row>
    <row r="72" spans="3:28">
      <c r="C72" s="6">
        <v>4</v>
      </c>
      <c r="D72" s="6">
        <v>2</v>
      </c>
      <c r="E72" s="6">
        <v>1</v>
      </c>
      <c r="F72" s="6">
        <v>0</v>
      </c>
      <c r="G72" s="2"/>
      <c r="H72" s="6">
        <v>2</v>
      </c>
      <c r="I72" s="6">
        <v>3</v>
      </c>
      <c r="J72" s="6">
        <v>1</v>
      </c>
      <c r="K72" s="6">
        <v>0</v>
      </c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</row>
    <row r="73" spans="3:28">
      <c r="C73" s="6">
        <v>4</v>
      </c>
      <c r="D73" s="6">
        <v>2</v>
      </c>
      <c r="E73" s="6">
        <v>2</v>
      </c>
      <c r="F73" s="6">
        <v>1</v>
      </c>
      <c r="G73" s="2"/>
      <c r="H73" s="6">
        <v>2</v>
      </c>
      <c r="I73" s="6">
        <v>3</v>
      </c>
      <c r="J73" s="6">
        <v>2</v>
      </c>
      <c r="K73" s="6">
        <v>0</v>
      </c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</row>
    <row r="74" spans="3:28">
      <c r="C74" s="6">
        <v>4</v>
      </c>
      <c r="D74" s="6">
        <v>2</v>
      </c>
      <c r="E74" s="6">
        <v>3</v>
      </c>
      <c r="F74" s="6">
        <v>0</v>
      </c>
      <c r="G74" s="2"/>
      <c r="H74" s="6">
        <v>2</v>
      </c>
      <c r="I74" s="6">
        <v>3</v>
      </c>
      <c r="J74" s="6">
        <v>3</v>
      </c>
      <c r="K74" s="6">
        <v>0</v>
      </c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</row>
    <row r="75" spans="3:28">
      <c r="C75" s="6">
        <v>4</v>
      </c>
      <c r="D75" s="6">
        <v>2</v>
      </c>
      <c r="E75" s="6">
        <v>4</v>
      </c>
      <c r="F75" s="6">
        <v>0</v>
      </c>
      <c r="G75" s="2"/>
      <c r="H75" s="6">
        <v>2</v>
      </c>
      <c r="I75" s="6">
        <v>3</v>
      </c>
      <c r="J75" s="6">
        <v>4</v>
      </c>
      <c r="K75" s="6">
        <v>0</v>
      </c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</row>
    <row r="76" spans="3:28">
      <c r="C76" s="6">
        <v>4</v>
      </c>
      <c r="D76" s="6">
        <v>2</v>
      </c>
      <c r="E76" s="6">
        <v>5</v>
      </c>
      <c r="F76" s="6">
        <v>0</v>
      </c>
      <c r="G76" s="2"/>
      <c r="H76" s="6">
        <v>2</v>
      </c>
      <c r="I76" s="6">
        <v>3</v>
      </c>
      <c r="J76" s="6">
        <v>5</v>
      </c>
      <c r="K76" s="6">
        <v>0</v>
      </c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</row>
    <row r="77" spans="3:28">
      <c r="C77" s="6">
        <v>4</v>
      </c>
      <c r="D77" s="6">
        <v>3</v>
      </c>
      <c r="E77" s="6">
        <v>1</v>
      </c>
      <c r="F77" s="6">
        <v>0</v>
      </c>
      <c r="G77" s="2"/>
      <c r="H77" s="6">
        <v>2</v>
      </c>
      <c r="I77" s="6">
        <v>4</v>
      </c>
      <c r="J77" s="6">
        <v>1</v>
      </c>
      <c r="K77" s="6">
        <v>0</v>
      </c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</row>
    <row r="78" spans="3:28">
      <c r="C78" s="6">
        <v>4</v>
      </c>
      <c r="D78" s="6">
        <v>3</v>
      </c>
      <c r="E78" s="6">
        <v>2</v>
      </c>
      <c r="F78" s="6">
        <v>1</v>
      </c>
      <c r="G78" s="2"/>
      <c r="H78" s="6">
        <v>2</v>
      </c>
      <c r="I78" s="6">
        <v>4</v>
      </c>
      <c r="J78" s="6">
        <v>2</v>
      </c>
      <c r="K78" s="6">
        <v>1</v>
      </c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</row>
    <row r="79" spans="3:28">
      <c r="C79" s="6">
        <v>4</v>
      </c>
      <c r="D79" s="6">
        <v>3</v>
      </c>
      <c r="E79" s="6">
        <v>3</v>
      </c>
      <c r="F79" s="6">
        <v>0</v>
      </c>
      <c r="G79" s="2"/>
      <c r="H79" s="6">
        <v>2</v>
      </c>
      <c r="I79" s="6">
        <v>4</v>
      </c>
      <c r="J79" s="6">
        <v>3</v>
      </c>
      <c r="K79" s="6">
        <v>0</v>
      </c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</row>
    <row r="80" spans="3:28">
      <c r="C80" s="6">
        <v>4</v>
      </c>
      <c r="D80" s="6">
        <v>3</v>
      </c>
      <c r="E80" s="6">
        <v>4</v>
      </c>
      <c r="F80" s="6">
        <v>0</v>
      </c>
      <c r="G80" s="2"/>
      <c r="H80" s="6">
        <v>2</v>
      </c>
      <c r="I80" s="6">
        <v>4</v>
      </c>
      <c r="J80" s="6">
        <v>4</v>
      </c>
      <c r="K80" s="6">
        <v>0</v>
      </c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</row>
    <row r="81" spans="3:28">
      <c r="C81" s="6">
        <v>4</v>
      </c>
      <c r="D81" s="6">
        <v>3</v>
      </c>
      <c r="E81" s="6">
        <v>5</v>
      </c>
      <c r="F81" s="6">
        <v>0</v>
      </c>
      <c r="G81" s="2"/>
      <c r="H81" s="6">
        <v>2</v>
      </c>
      <c r="I81" s="6">
        <v>4</v>
      </c>
      <c r="J81" s="6">
        <v>5</v>
      </c>
      <c r="K81" s="6">
        <v>0</v>
      </c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</row>
    <row r="82" spans="3:28">
      <c r="C82" s="6">
        <v>5</v>
      </c>
      <c r="D82" s="6">
        <v>1</v>
      </c>
      <c r="E82" s="6">
        <v>1</v>
      </c>
      <c r="F82" s="6">
        <v>0</v>
      </c>
      <c r="G82" s="2"/>
      <c r="H82" s="6">
        <v>2</v>
      </c>
      <c r="I82" s="6">
        <v>5</v>
      </c>
      <c r="J82" s="6">
        <v>1</v>
      </c>
      <c r="K82" s="6">
        <v>0</v>
      </c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</row>
    <row r="83" spans="3:28">
      <c r="C83" s="6">
        <v>5</v>
      </c>
      <c r="D83" s="6">
        <v>1</v>
      </c>
      <c r="E83" s="6">
        <v>2</v>
      </c>
      <c r="F83" s="6">
        <v>0</v>
      </c>
      <c r="G83" s="2"/>
      <c r="H83" s="6">
        <v>2</v>
      </c>
      <c r="I83" s="6">
        <v>5</v>
      </c>
      <c r="J83" s="6">
        <v>2</v>
      </c>
      <c r="K83" s="6">
        <v>1</v>
      </c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</row>
    <row r="84" spans="3:28">
      <c r="C84" s="6">
        <v>5</v>
      </c>
      <c r="D84" s="6">
        <v>1</v>
      </c>
      <c r="E84" s="6">
        <v>3</v>
      </c>
      <c r="F84" s="6">
        <v>1</v>
      </c>
      <c r="G84" s="2"/>
      <c r="H84" s="6">
        <v>2</v>
      </c>
      <c r="I84" s="6">
        <v>5</v>
      </c>
      <c r="J84" s="6">
        <v>3</v>
      </c>
      <c r="K84" s="6">
        <v>0</v>
      </c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</row>
    <row r="85" spans="3:28">
      <c r="C85" s="6">
        <v>5</v>
      </c>
      <c r="D85" s="6">
        <v>1</v>
      </c>
      <c r="E85" s="6">
        <v>4</v>
      </c>
      <c r="F85" s="6">
        <v>0</v>
      </c>
      <c r="G85" s="2"/>
      <c r="H85" s="6">
        <v>2</v>
      </c>
      <c r="I85" s="6">
        <v>5</v>
      </c>
      <c r="J85" s="6">
        <v>4</v>
      </c>
      <c r="K85" s="6">
        <v>0</v>
      </c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</row>
    <row r="86" spans="3:28">
      <c r="C86" s="6">
        <v>5</v>
      </c>
      <c r="D86" s="6">
        <v>1</v>
      </c>
      <c r="E86" s="6">
        <v>5</v>
      </c>
      <c r="F86" s="6">
        <v>0</v>
      </c>
      <c r="G86" s="2"/>
      <c r="H86" s="6">
        <v>2</v>
      </c>
      <c r="I86" s="6">
        <v>5</v>
      </c>
      <c r="J86" s="6">
        <v>5</v>
      </c>
      <c r="K86" s="6">
        <v>0</v>
      </c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</row>
    <row r="87" spans="3:28">
      <c r="C87" s="6">
        <v>5</v>
      </c>
      <c r="D87" s="6">
        <v>2</v>
      </c>
      <c r="E87" s="6">
        <v>1</v>
      </c>
      <c r="F87" s="6">
        <v>0</v>
      </c>
      <c r="G87" s="2"/>
      <c r="H87" s="6">
        <v>2</v>
      </c>
      <c r="I87" s="6">
        <v>6</v>
      </c>
      <c r="J87" s="6">
        <v>1</v>
      </c>
      <c r="K87" s="6">
        <v>0</v>
      </c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</row>
    <row r="88" spans="3:28">
      <c r="C88" s="6">
        <v>5</v>
      </c>
      <c r="D88" s="6">
        <v>2</v>
      </c>
      <c r="E88" s="6">
        <v>2</v>
      </c>
      <c r="F88" s="6">
        <v>0</v>
      </c>
      <c r="G88" s="2"/>
      <c r="H88" s="6">
        <v>2</v>
      </c>
      <c r="I88" s="6">
        <v>6</v>
      </c>
      <c r="J88" s="6">
        <v>2</v>
      </c>
      <c r="K88" s="6">
        <v>0</v>
      </c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</row>
    <row r="89" spans="3:28">
      <c r="C89" s="6">
        <v>5</v>
      </c>
      <c r="D89" s="6">
        <v>2</v>
      </c>
      <c r="E89" s="6">
        <v>3</v>
      </c>
      <c r="F89" s="6">
        <v>1</v>
      </c>
      <c r="G89" s="2"/>
      <c r="H89" s="6">
        <v>2</v>
      </c>
      <c r="I89" s="6">
        <v>6</v>
      </c>
      <c r="J89" s="6">
        <v>3</v>
      </c>
      <c r="K89" s="6">
        <v>0</v>
      </c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</row>
    <row r="90" spans="3:28">
      <c r="C90" s="6">
        <v>5</v>
      </c>
      <c r="D90" s="6">
        <v>2</v>
      </c>
      <c r="E90" s="6">
        <v>4</v>
      </c>
      <c r="F90" s="6">
        <v>0</v>
      </c>
      <c r="G90" s="2"/>
      <c r="H90" s="6">
        <v>2</v>
      </c>
      <c r="I90" s="6">
        <v>6</v>
      </c>
      <c r="J90" s="6">
        <v>4</v>
      </c>
      <c r="K90" s="6">
        <v>0</v>
      </c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</row>
    <row r="91" spans="3:28">
      <c r="C91" s="6">
        <v>5</v>
      </c>
      <c r="D91" s="6">
        <v>2</v>
      </c>
      <c r="E91" s="6">
        <v>5</v>
      </c>
      <c r="F91" s="6">
        <v>0</v>
      </c>
      <c r="G91" s="2"/>
      <c r="H91" s="6">
        <v>2</v>
      </c>
      <c r="I91" s="6">
        <v>6</v>
      </c>
      <c r="J91" s="6">
        <v>5</v>
      </c>
      <c r="K91" s="6">
        <v>0</v>
      </c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</row>
    <row r="92" spans="3:28">
      <c r="C92" s="6">
        <v>5</v>
      </c>
      <c r="D92" s="6">
        <v>3</v>
      </c>
      <c r="E92" s="6">
        <v>1</v>
      </c>
      <c r="F92" s="6">
        <v>0</v>
      </c>
      <c r="G92" s="2"/>
      <c r="H92" s="6">
        <v>2</v>
      </c>
      <c r="I92" s="6">
        <v>7</v>
      </c>
      <c r="J92" s="6">
        <v>1</v>
      </c>
      <c r="K92" s="6">
        <v>0</v>
      </c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</row>
    <row r="93" spans="3:28">
      <c r="C93" s="6">
        <v>5</v>
      </c>
      <c r="D93" s="6">
        <v>3</v>
      </c>
      <c r="E93" s="6">
        <v>2</v>
      </c>
      <c r="F93" s="6">
        <v>1</v>
      </c>
      <c r="G93" s="2"/>
      <c r="H93" s="6">
        <v>2</v>
      </c>
      <c r="I93" s="6">
        <v>7</v>
      </c>
      <c r="J93" s="6">
        <v>2</v>
      </c>
      <c r="K93" s="6">
        <v>0</v>
      </c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</row>
    <row r="94" spans="3:28">
      <c r="C94" s="6">
        <v>5</v>
      </c>
      <c r="D94" s="6">
        <v>3</v>
      </c>
      <c r="E94" s="6">
        <v>3</v>
      </c>
      <c r="F94" s="6">
        <v>0</v>
      </c>
      <c r="G94" s="2"/>
      <c r="H94" s="6">
        <v>2</v>
      </c>
      <c r="I94" s="6">
        <v>7</v>
      </c>
      <c r="J94" s="6">
        <v>3</v>
      </c>
      <c r="K94" s="6">
        <v>0</v>
      </c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</row>
    <row r="95" spans="3:28">
      <c r="C95" s="6">
        <v>5</v>
      </c>
      <c r="D95" s="6">
        <v>3</v>
      </c>
      <c r="E95" s="6">
        <v>4</v>
      </c>
      <c r="F95" s="6">
        <v>0</v>
      </c>
      <c r="G95" s="2"/>
      <c r="H95" s="6">
        <v>2</v>
      </c>
      <c r="I95" s="6">
        <v>7</v>
      </c>
      <c r="J95" s="6">
        <v>4</v>
      </c>
      <c r="K95" s="6">
        <v>0</v>
      </c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</row>
    <row r="96" spans="3:28">
      <c r="C96" s="6">
        <v>5</v>
      </c>
      <c r="D96" s="6">
        <v>3</v>
      </c>
      <c r="E96" s="6">
        <v>5</v>
      </c>
      <c r="F96" s="6">
        <v>0</v>
      </c>
      <c r="G96" s="2"/>
      <c r="H96" s="6">
        <v>2</v>
      </c>
      <c r="I96" s="6">
        <v>7</v>
      </c>
      <c r="J96" s="6">
        <v>5</v>
      </c>
      <c r="K96" s="6">
        <v>0</v>
      </c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</row>
    <row r="97" spans="3:28">
      <c r="C97" s="6"/>
      <c r="D97" s="6"/>
      <c r="E97" s="6"/>
      <c r="F97" s="6"/>
      <c r="G97" s="2"/>
      <c r="H97" s="6">
        <v>2</v>
      </c>
      <c r="I97" s="6">
        <v>8</v>
      </c>
      <c r="J97" s="6">
        <v>1</v>
      </c>
      <c r="K97" s="6">
        <v>0</v>
      </c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</row>
    <row r="98" spans="3:28">
      <c r="C98" s="6"/>
      <c r="D98" s="6"/>
      <c r="E98" s="6"/>
      <c r="F98" s="6"/>
      <c r="G98" s="2"/>
      <c r="H98" s="6">
        <v>2</v>
      </c>
      <c r="I98" s="6">
        <v>8</v>
      </c>
      <c r="J98" s="6">
        <v>2</v>
      </c>
      <c r="K98" s="6">
        <v>0</v>
      </c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</row>
    <row r="99" spans="3:28">
      <c r="C99" s="6"/>
      <c r="D99" s="6"/>
      <c r="E99" s="6"/>
      <c r="F99" s="6"/>
      <c r="G99" s="2"/>
      <c r="H99" s="6">
        <v>2</v>
      </c>
      <c r="I99" s="6">
        <v>8</v>
      </c>
      <c r="J99" s="6">
        <v>3</v>
      </c>
      <c r="K99" s="6">
        <v>0</v>
      </c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</row>
    <row r="100" spans="3:28">
      <c r="C100" s="6"/>
      <c r="D100" s="6"/>
      <c r="E100" s="6"/>
      <c r="F100" s="6"/>
      <c r="G100" s="2"/>
      <c r="H100" s="6">
        <v>2</v>
      </c>
      <c r="I100" s="6">
        <v>8</v>
      </c>
      <c r="J100" s="6">
        <v>4</v>
      </c>
      <c r="K100" s="6">
        <v>0</v>
      </c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</row>
    <row r="101" spans="3:28">
      <c r="C101" s="6"/>
      <c r="D101" s="6"/>
      <c r="E101" s="6"/>
      <c r="F101" s="6"/>
      <c r="G101" s="2"/>
      <c r="H101" s="6">
        <v>2</v>
      </c>
      <c r="I101" s="6">
        <v>8</v>
      </c>
      <c r="J101" s="6">
        <v>5</v>
      </c>
      <c r="K101" s="6">
        <v>0</v>
      </c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</row>
    <row r="102" spans="3:28">
      <c r="C102" s="6"/>
      <c r="D102" s="6"/>
      <c r="E102" s="6"/>
      <c r="F102" s="6"/>
      <c r="G102" s="2"/>
      <c r="H102" s="6">
        <v>3</v>
      </c>
      <c r="I102" s="6">
        <v>1</v>
      </c>
      <c r="J102" s="6">
        <v>1</v>
      </c>
      <c r="K102" s="6">
        <v>0</v>
      </c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</row>
    <row r="103" spans="3:28">
      <c r="C103" s="6"/>
      <c r="D103" s="6"/>
      <c r="E103" s="6"/>
      <c r="F103" s="6"/>
      <c r="G103" s="2"/>
      <c r="H103" s="6">
        <v>3</v>
      </c>
      <c r="I103" s="6">
        <v>1</v>
      </c>
      <c r="J103" s="6">
        <v>2</v>
      </c>
      <c r="K103" s="6">
        <v>0</v>
      </c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</row>
    <row r="104" spans="3:28">
      <c r="C104" s="6"/>
      <c r="D104" s="6"/>
      <c r="E104" s="6"/>
      <c r="F104" s="6"/>
      <c r="G104" s="2"/>
      <c r="H104" s="6">
        <v>3</v>
      </c>
      <c r="I104" s="6">
        <v>1</v>
      </c>
      <c r="J104" s="6">
        <v>3</v>
      </c>
      <c r="K104" s="6">
        <v>0</v>
      </c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</row>
    <row r="105" spans="3:28">
      <c r="C105" s="6"/>
      <c r="D105" s="6"/>
      <c r="E105" s="6"/>
      <c r="F105" s="6"/>
      <c r="G105" s="2"/>
      <c r="H105" s="6">
        <v>3</v>
      </c>
      <c r="I105" s="6">
        <v>1</v>
      </c>
      <c r="J105" s="6">
        <v>4</v>
      </c>
      <c r="K105" s="6">
        <v>1</v>
      </c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</row>
    <row r="106" spans="3:28">
      <c r="C106" s="6"/>
      <c r="D106" s="6"/>
      <c r="E106" s="6"/>
      <c r="F106" s="6"/>
      <c r="G106" s="2"/>
      <c r="H106" s="6">
        <v>3</v>
      </c>
      <c r="I106" s="6">
        <v>1</v>
      </c>
      <c r="J106" s="6">
        <v>5</v>
      </c>
      <c r="K106" s="6">
        <v>0</v>
      </c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</row>
    <row r="107" spans="3:28">
      <c r="C107" s="6"/>
      <c r="D107" s="6"/>
      <c r="E107" s="6"/>
      <c r="F107" s="6"/>
      <c r="G107" s="2"/>
      <c r="H107" s="6">
        <v>3</v>
      </c>
      <c r="I107" s="6">
        <v>2</v>
      </c>
      <c r="J107" s="6">
        <v>1</v>
      </c>
      <c r="K107" s="6">
        <v>0</v>
      </c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3:28">
      <c r="C108" s="6"/>
      <c r="D108" s="6"/>
      <c r="E108" s="6"/>
      <c r="F108" s="6"/>
      <c r="G108" s="2"/>
      <c r="H108" s="6">
        <v>3</v>
      </c>
      <c r="I108" s="6">
        <v>2</v>
      </c>
      <c r="J108" s="6">
        <v>2</v>
      </c>
      <c r="K108" s="6">
        <v>0</v>
      </c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3:28">
      <c r="C109" s="6"/>
      <c r="D109" s="6"/>
      <c r="E109" s="6"/>
      <c r="F109" s="6"/>
      <c r="H109" s="6">
        <v>3</v>
      </c>
      <c r="I109" s="6">
        <v>2</v>
      </c>
      <c r="J109" s="6">
        <v>3</v>
      </c>
      <c r="K109" s="6">
        <v>0</v>
      </c>
    </row>
    <row r="110" spans="3:28">
      <c r="C110" s="6"/>
      <c r="D110" s="6"/>
      <c r="E110" s="6"/>
      <c r="F110" s="6"/>
      <c r="H110" s="6">
        <v>3</v>
      </c>
      <c r="I110" s="6">
        <v>2</v>
      </c>
      <c r="J110" s="6">
        <v>4</v>
      </c>
      <c r="K110" s="6">
        <v>0</v>
      </c>
    </row>
    <row r="111" spans="3:28">
      <c r="C111" s="6"/>
      <c r="D111" s="6"/>
      <c r="E111" s="6"/>
      <c r="F111" s="6"/>
      <c r="H111" s="6">
        <v>3</v>
      </c>
      <c r="I111" s="6">
        <v>2</v>
      </c>
      <c r="J111" s="6">
        <v>5</v>
      </c>
      <c r="K111" s="6">
        <v>0</v>
      </c>
    </row>
    <row r="112" spans="3:28">
      <c r="C112" s="6"/>
      <c r="D112" s="6"/>
      <c r="E112" s="6"/>
      <c r="F112" s="6"/>
      <c r="H112" s="6">
        <v>3</v>
      </c>
      <c r="I112" s="6">
        <v>3</v>
      </c>
      <c r="J112" s="6">
        <v>1</v>
      </c>
      <c r="K112" s="6">
        <v>0</v>
      </c>
    </row>
    <row r="113" spans="3:11">
      <c r="C113" s="6"/>
      <c r="D113" s="6"/>
      <c r="E113" s="6"/>
      <c r="F113" s="6"/>
      <c r="H113" s="6">
        <v>3</v>
      </c>
      <c r="I113" s="6">
        <v>3</v>
      </c>
      <c r="J113" s="6">
        <v>2</v>
      </c>
      <c r="K113" s="6">
        <v>0</v>
      </c>
    </row>
    <row r="114" spans="3:11">
      <c r="C114" s="6"/>
      <c r="D114" s="6"/>
      <c r="E114" s="6"/>
      <c r="F114" s="6"/>
      <c r="H114" s="6">
        <v>3</v>
      </c>
      <c r="I114" s="6">
        <v>3</v>
      </c>
      <c r="J114" s="6">
        <v>3</v>
      </c>
      <c r="K114" s="6">
        <v>0</v>
      </c>
    </row>
    <row r="115" spans="3:11">
      <c r="C115" s="6"/>
      <c r="D115" s="6"/>
      <c r="E115" s="6"/>
      <c r="F115" s="6"/>
      <c r="H115" s="6">
        <v>3</v>
      </c>
      <c r="I115" s="6">
        <v>3</v>
      </c>
      <c r="J115" s="6">
        <v>4</v>
      </c>
      <c r="K115" s="6">
        <v>0</v>
      </c>
    </row>
    <row r="116" spans="3:11">
      <c r="C116" s="6"/>
      <c r="D116" s="6"/>
      <c r="E116" s="6"/>
      <c r="F116" s="6"/>
      <c r="H116" s="6">
        <v>3</v>
      </c>
      <c r="I116" s="6">
        <v>3</v>
      </c>
      <c r="J116" s="6">
        <v>5</v>
      </c>
      <c r="K116" s="6">
        <v>0</v>
      </c>
    </row>
    <row r="117" spans="3:11">
      <c r="C117" s="6"/>
      <c r="D117" s="6"/>
      <c r="E117" s="6"/>
      <c r="F117" s="6"/>
      <c r="H117" s="6">
        <v>3</v>
      </c>
      <c r="I117" s="6">
        <v>4</v>
      </c>
      <c r="J117" s="6">
        <v>1</v>
      </c>
      <c r="K117" s="6">
        <v>0</v>
      </c>
    </row>
    <row r="118" spans="3:11">
      <c r="C118" s="6"/>
      <c r="D118" s="6"/>
      <c r="E118" s="6"/>
      <c r="F118" s="6"/>
      <c r="H118" s="6">
        <v>3</v>
      </c>
      <c r="I118" s="6">
        <v>4</v>
      </c>
      <c r="J118" s="6">
        <v>2</v>
      </c>
      <c r="K118" s="6">
        <v>0</v>
      </c>
    </row>
    <row r="119" spans="3:11">
      <c r="C119" s="6"/>
      <c r="D119" s="6"/>
      <c r="E119" s="6"/>
      <c r="F119" s="6"/>
      <c r="H119" s="6">
        <v>3</v>
      </c>
      <c r="I119" s="6">
        <v>4</v>
      </c>
      <c r="J119" s="6">
        <v>3</v>
      </c>
      <c r="K119" s="6">
        <v>0</v>
      </c>
    </row>
    <row r="120" spans="3:11">
      <c r="C120" s="6"/>
      <c r="D120" s="6"/>
      <c r="E120" s="6"/>
      <c r="F120" s="6"/>
      <c r="H120" s="6">
        <v>3</v>
      </c>
      <c r="I120" s="6">
        <v>4</v>
      </c>
      <c r="J120" s="6">
        <v>4</v>
      </c>
      <c r="K120" s="6">
        <v>0</v>
      </c>
    </row>
    <row r="121" spans="3:11">
      <c r="C121" s="6"/>
      <c r="D121" s="6"/>
      <c r="E121" s="6"/>
      <c r="F121" s="6"/>
      <c r="H121" s="6">
        <v>3</v>
      </c>
      <c r="I121" s="6">
        <v>4</v>
      </c>
      <c r="J121" s="6">
        <v>5</v>
      </c>
      <c r="K121" s="6">
        <v>0</v>
      </c>
    </row>
    <row r="122" spans="3:11">
      <c r="H122" s="6">
        <v>3</v>
      </c>
      <c r="I122" s="6">
        <v>5</v>
      </c>
      <c r="J122" s="6">
        <v>1</v>
      </c>
      <c r="K122" s="6">
        <v>0</v>
      </c>
    </row>
    <row r="123" spans="3:11">
      <c r="H123" s="6">
        <v>3</v>
      </c>
      <c r="I123" s="6">
        <v>5</v>
      </c>
      <c r="J123" s="6">
        <v>2</v>
      </c>
      <c r="K123" s="6">
        <v>0</v>
      </c>
    </row>
    <row r="124" spans="3:11">
      <c r="H124" s="6">
        <v>3</v>
      </c>
      <c r="I124" s="6">
        <v>5</v>
      </c>
      <c r="J124" s="6">
        <v>3</v>
      </c>
      <c r="K124" s="6">
        <v>0</v>
      </c>
    </row>
    <row r="125" spans="3:11">
      <c r="H125" s="6">
        <v>3</v>
      </c>
      <c r="I125" s="6">
        <v>5</v>
      </c>
      <c r="J125" s="6">
        <v>4</v>
      </c>
      <c r="K125" s="6">
        <v>0</v>
      </c>
    </row>
    <row r="126" spans="3:11">
      <c r="H126" s="6">
        <v>3</v>
      </c>
      <c r="I126" s="6">
        <v>5</v>
      </c>
      <c r="J126" s="6">
        <v>5</v>
      </c>
      <c r="K126" s="6">
        <v>0</v>
      </c>
    </row>
    <row r="127" spans="3:11">
      <c r="H127" s="6">
        <v>3</v>
      </c>
      <c r="I127" s="6">
        <v>6</v>
      </c>
      <c r="J127" s="6">
        <v>1</v>
      </c>
      <c r="K127" s="6">
        <v>0</v>
      </c>
    </row>
    <row r="128" spans="3:11">
      <c r="H128" s="6">
        <v>3</v>
      </c>
      <c r="I128" s="6">
        <v>6</v>
      </c>
      <c r="J128" s="6">
        <v>2</v>
      </c>
      <c r="K128" s="6">
        <v>1</v>
      </c>
    </row>
    <row r="129" spans="8:11">
      <c r="H129" s="6">
        <v>3</v>
      </c>
      <c r="I129" s="6">
        <v>6</v>
      </c>
      <c r="J129" s="6">
        <v>3</v>
      </c>
      <c r="K129" s="6">
        <v>0</v>
      </c>
    </row>
    <row r="130" spans="8:11">
      <c r="H130" s="6">
        <v>3</v>
      </c>
      <c r="I130" s="6">
        <v>6</v>
      </c>
      <c r="J130" s="6">
        <v>4</v>
      </c>
      <c r="K130" s="6">
        <v>0</v>
      </c>
    </row>
    <row r="131" spans="8:11">
      <c r="H131" s="6">
        <v>3</v>
      </c>
      <c r="I131" s="6">
        <v>6</v>
      </c>
      <c r="J131" s="6">
        <v>5</v>
      </c>
      <c r="K131" s="6">
        <v>0</v>
      </c>
    </row>
    <row r="132" spans="8:11">
      <c r="H132" s="6">
        <v>3</v>
      </c>
      <c r="I132" s="6">
        <v>7</v>
      </c>
      <c r="J132" s="6">
        <v>1</v>
      </c>
      <c r="K132" s="6">
        <v>0</v>
      </c>
    </row>
    <row r="133" spans="8:11">
      <c r="H133" s="6">
        <v>3</v>
      </c>
      <c r="I133" s="6">
        <v>7</v>
      </c>
      <c r="J133" s="6">
        <v>2</v>
      </c>
      <c r="K133" s="6">
        <v>0</v>
      </c>
    </row>
    <row r="134" spans="8:11">
      <c r="H134" s="6">
        <v>3</v>
      </c>
      <c r="I134" s="6">
        <v>7</v>
      </c>
      <c r="J134" s="6">
        <v>3</v>
      </c>
      <c r="K134" s="6">
        <v>1</v>
      </c>
    </row>
    <row r="135" spans="8:11">
      <c r="H135" s="6">
        <v>3</v>
      </c>
      <c r="I135" s="6">
        <v>7</v>
      </c>
      <c r="J135" s="6">
        <v>4</v>
      </c>
      <c r="K135" s="6">
        <v>0</v>
      </c>
    </row>
    <row r="136" spans="8:11">
      <c r="H136" s="6">
        <v>3</v>
      </c>
      <c r="I136" s="6">
        <v>7</v>
      </c>
      <c r="J136" s="6">
        <v>5</v>
      </c>
      <c r="K136" s="6">
        <v>0</v>
      </c>
    </row>
    <row r="137" spans="8:11">
      <c r="H137" s="6">
        <v>3</v>
      </c>
      <c r="I137" s="6">
        <v>8</v>
      </c>
      <c r="J137" s="6">
        <v>1</v>
      </c>
      <c r="K137" s="6">
        <v>0</v>
      </c>
    </row>
    <row r="138" spans="8:11">
      <c r="H138" s="6">
        <v>3</v>
      </c>
      <c r="I138" s="6">
        <v>8</v>
      </c>
      <c r="J138" s="6">
        <v>2</v>
      </c>
      <c r="K138" s="6">
        <v>0</v>
      </c>
    </row>
    <row r="139" spans="8:11">
      <c r="H139" s="6">
        <v>3</v>
      </c>
      <c r="I139" s="6">
        <v>8</v>
      </c>
      <c r="J139" s="6">
        <v>3</v>
      </c>
      <c r="K139" s="6">
        <v>0</v>
      </c>
    </row>
    <row r="140" spans="8:11">
      <c r="H140" s="6">
        <v>3</v>
      </c>
      <c r="I140" s="6">
        <v>8</v>
      </c>
      <c r="J140" s="6">
        <v>4</v>
      </c>
      <c r="K140" s="6">
        <v>0</v>
      </c>
    </row>
    <row r="141" spans="8:11">
      <c r="H141" s="6">
        <v>3</v>
      </c>
      <c r="I141" s="6">
        <v>8</v>
      </c>
      <c r="J141" s="6">
        <v>5</v>
      </c>
      <c r="K141" s="6">
        <v>0</v>
      </c>
    </row>
    <row r="142" spans="8:11">
      <c r="H142" s="6">
        <v>4</v>
      </c>
      <c r="I142" s="6">
        <v>1</v>
      </c>
      <c r="J142" s="6">
        <v>1</v>
      </c>
      <c r="K142" s="6">
        <v>0</v>
      </c>
    </row>
    <row r="143" spans="8:11">
      <c r="H143" s="6">
        <v>4</v>
      </c>
      <c r="I143" s="6">
        <v>1</v>
      </c>
      <c r="J143" s="6">
        <v>2</v>
      </c>
      <c r="K143" s="6">
        <v>0</v>
      </c>
    </row>
    <row r="144" spans="8:11">
      <c r="H144" s="6">
        <v>4</v>
      </c>
      <c r="I144" s="6">
        <v>1</v>
      </c>
      <c r="J144" s="6">
        <v>3</v>
      </c>
      <c r="K144" s="6">
        <v>0</v>
      </c>
    </row>
    <row r="145" spans="8:11">
      <c r="H145" s="6">
        <v>4</v>
      </c>
      <c r="I145" s="6">
        <v>1</v>
      </c>
      <c r="J145" s="6">
        <v>4</v>
      </c>
      <c r="K145" s="6">
        <v>0</v>
      </c>
    </row>
    <row r="146" spans="8:11">
      <c r="H146" s="6">
        <v>4</v>
      </c>
      <c r="I146" s="6">
        <v>1</v>
      </c>
      <c r="J146" s="6">
        <v>5</v>
      </c>
      <c r="K146" s="6">
        <v>0</v>
      </c>
    </row>
    <row r="147" spans="8:11">
      <c r="H147" s="6">
        <v>4</v>
      </c>
      <c r="I147" s="6">
        <v>2</v>
      </c>
      <c r="J147" s="6">
        <v>1</v>
      </c>
      <c r="K147" s="6">
        <v>0</v>
      </c>
    </row>
    <row r="148" spans="8:11">
      <c r="H148" s="6">
        <v>4</v>
      </c>
      <c r="I148" s="6">
        <v>2</v>
      </c>
      <c r="J148" s="6">
        <v>2</v>
      </c>
      <c r="K148" s="6">
        <v>0</v>
      </c>
    </row>
    <row r="149" spans="8:11">
      <c r="H149" s="6">
        <v>4</v>
      </c>
      <c r="I149" s="6">
        <v>2</v>
      </c>
      <c r="J149" s="6">
        <v>3</v>
      </c>
      <c r="K149" s="6">
        <v>0</v>
      </c>
    </row>
    <row r="150" spans="8:11">
      <c r="H150" s="6">
        <v>4</v>
      </c>
      <c r="I150" s="6">
        <v>2</v>
      </c>
      <c r="J150" s="6">
        <v>4</v>
      </c>
      <c r="K150" s="6">
        <v>0</v>
      </c>
    </row>
    <row r="151" spans="8:11">
      <c r="H151" s="6">
        <v>4</v>
      </c>
      <c r="I151" s="6">
        <v>2</v>
      </c>
      <c r="J151" s="6">
        <v>5</v>
      </c>
      <c r="K151" s="6">
        <v>0</v>
      </c>
    </row>
    <row r="152" spans="8:11">
      <c r="H152" s="6">
        <v>4</v>
      </c>
      <c r="I152" s="6">
        <v>3</v>
      </c>
      <c r="J152" s="6">
        <v>1</v>
      </c>
      <c r="K152" s="6">
        <v>0</v>
      </c>
    </row>
    <row r="153" spans="8:11">
      <c r="H153" s="6">
        <v>4</v>
      </c>
      <c r="I153" s="6">
        <v>3</v>
      </c>
      <c r="J153" s="6">
        <v>2</v>
      </c>
      <c r="K153" s="6">
        <v>0</v>
      </c>
    </row>
    <row r="154" spans="8:11">
      <c r="H154" s="6">
        <v>4</v>
      </c>
      <c r="I154" s="6">
        <v>3</v>
      </c>
      <c r="J154" s="6">
        <v>3</v>
      </c>
      <c r="K154" s="6">
        <v>0</v>
      </c>
    </row>
    <row r="155" spans="8:11">
      <c r="H155" s="6">
        <v>4</v>
      </c>
      <c r="I155" s="6">
        <v>3</v>
      </c>
      <c r="J155" s="6">
        <v>4</v>
      </c>
      <c r="K155" s="6">
        <v>0</v>
      </c>
    </row>
    <row r="156" spans="8:11">
      <c r="H156" s="6">
        <v>4</v>
      </c>
      <c r="I156" s="6">
        <v>3</v>
      </c>
      <c r="J156" s="6">
        <v>5</v>
      </c>
      <c r="K156" s="6">
        <v>0</v>
      </c>
    </row>
    <row r="157" spans="8:11">
      <c r="H157" s="6">
        <v>4</v>
      </c>
      <c r="I157" s="6">
        <v>4</v>
      </c>
      <c r="J157" s="6">
        <v>1</v>
      </c>
      <c r="K157" s="6">
        <v>0</v>
      </c>
    </row>
    <row r="158" spans="8:11">
      <c r="H158" s="6">
        <v>4</v>
      </c>
      <c r="I158" s="6">
        <v>4</v>
      </c>
      <c r="J158" s="6">
        <v>2</v>
      </c>
      <c r="K158" s="6">
        <v>0</v>
      </c>
    </row>
    <row r="159" spans="8:11">
      <c r="H159" s="6">
        <v>4</v>
      </c>
      <c r="I159" s="6">
        <v>4</v>
      </c>
      <c r="J159" s="6">
        <v>3</v>
      </c>
      <c r="K159" s="6">
        <v>0</v>
      </c>
    </row>
    <row r="160" spans="8:11">
      <c r="H160" s="6">
        <v>4</v>
      </c>
      <c r="I160" s="6">
        <v>4</v>
      </c>
      <c r="J160" s="6">
        <v>4</v>
      </c>
      <c r="K160" s="6">
        <v>0</v>
      </c>
    </row>
    <row r="161" spans="8:11">
      <c r="H161" s="6">
        <v>4</v>
      </c>
      <c r="I161" s="6">
        <v>4</v>
      </c>
      <c r="J161" s="6">
        <v>5</v>
      </c>
      <c r="K161" s="6">
        <v>0</v>
      </c>
    </row>
    <row r="162" spans="8:11">
      <c r="H162" s="6">
        <v>4</v>
      </c>
      <c r="I162" s="6">
        <v>5</v>
      </c>
      <c r="J162" s="6">
        <v>1</v>
      </c>
      <c r="K162" s="6">
        <v>0</v>
      </c>
    </row>
    <row r="163" spans="8:11">
      <c r="H163" s="6">
        <v>4</v>
      </c>
      <c r="I163" s="6">
        <v>5</v>
      </c>
      <c r="J163" s="6">
        <v>2</v>
      </c>
      <c r="K163" s="6">
        <v>1</v>
      </c>
    </row>
    <row r="164" spans="8:11">
      <c r="H164" s="6">
        <v>4</v>
      </c>
      <c r="I164" s="6">
        <v>5</v>
      </c>
      <c r="J164" s="6">
        <v>3</v>
      </c>
      <c r="K164" s="6">
        <v>0</v>
      </c>
    </row>
    <row r="165" spans="8:11">
      <c r="H165" s="6">
        <v>4</v>
      </c>
      <c r="I165" s="6">
        <v>5</v>
      </c>
      <c r="J165" s="6">
        <v>4</v>
      </c>
      <c r="K165" s="6">
        <v>0</v>
      </c>
    </row>
    <row r="166" spans="8:11">
      <c r="H166" s="6">
        <v>4</v>
      </c>
      <c r="I166" s="6">
        <v>5</v>
      </c>
      <c r="J166" s="6">
        <v>5</v>
      </c>
      <c r="K166" s="6">
        <v>0</v>
      </c>
    </row>
    <row r="167" spans="8:11">
      <c r="H167" s="6">
        <v>4</v>
      </c>
      <c r="I167" s="6">
        <v>6</v>
      </c>
      <c r="J167" s="6">
        <v>1</v>
      </c>
      <c r="K167" s="6">
        <v>0</v>
      </c>
    </row>
    <row r="168" spans="8:11">
      <c r="H168" s="6">
        <v>4</v>
      </c>
      <c r="I168" s="6">
        <v>6</v>
      </c>
      <c r="J168" s="6">
        <v>2</v>
      </c>
      <c r="K168" s="6">
        <v>1</v>
      </c>
    </row>
    <row r="169" spans="8:11">
      <c r="H169" s="6">
        <v>4</v>
      </c>
      <c r="I169" s="6">
        <v>6</v>
      </c>
      <c r="J169" s="6">
        <v>3</v>
      </c>
      <c r="K169" s="6">
        <v>0</v>
      </c>
    </row>
    <row r="170" spans="8:11">
      <c r="H170" s="6">
        <v>4</v>
      </c>
      <c r="I170" s="6">
        <v>6</v>
      </c>
      <c r="J170" s="6">
        <v>4</v>
      </c>
      <c r="K170" s="6">
        <v>0</v>
      </c>
    </row>
    <row r="171" spans="8:11">
      <c r="H171" s="6">
        <v>4</v>
      </c>
      <c r="I171" s="6">
        <v>6</v>
      </c>
      <c r="J171" s="6">
        <v>5</v>
      </c>
      <c r="K171" s="6">
        <v>0</v>
      </c>
    </row>
    <row r="172" spans="8:11">
      <c r="H172" s="6">
        <v>4</v>
      </c>
      <c r="I172" s="6">
        <v>7</v>
      </c>
      <c r="J172" s="6">
        <v>1</v>
      </c>
      <c r="K172" s="6">
        <v>0</v>
      </c>
    </row>
    <row r="173" spans="8:11">
      <c r="H173" s="6">
        <v>4</v>
      </c>
      <c r="I173" s="6">
        <v>7</v>
      </c>
      <c r="J173" s="6">
        <v>2</v>
      </c>
      <c r="K173" s="6">
        <v>0</v>
      </c>
    </row>
    <row r="174" spans="8:11">
      <c r="H174" s="6">
        <v>4</v>
      </c>
      <c r="I174" s="6">
        <v>7</v>
      </c>
      <c r="J174" s="6">
        <v>3</v>
      </c>
      <c r="K174" s="6">
        <v>0</v>
      </c>
    </row>
    <row r="175" spans="8:11">
      <c r="H175" s="6">
        <v>4</v>
      </c>
      <c r="I175" s="6">
        <v>7</v>
      </c>
      <c r="J175" s="6">
        <v>4</v>
      </c>
      <c r="K175" s="6">
        <v>0</v>
      </c>
    </row>
    <row r="176" spans="8:11">
      <c r="H176" s="6">
        <v>4</v>
      </c>
      <c r="I176" s="6">
        <v>7</v>
      </c>
      <c r="J176" s="6">
        <v>5</v>
      </c>
      <c r="K176" s="6">
        <v>0</v>
      </c>
    </row>
    <row r="177" spans="8:11">
      <c r="H177" s="6">
        <v>4</v>
      </c>
      <c r="I177" s="6">
        <v>8</v>
      </c>
      <c r="J177" s="6">
        <v>1</v>
      </c>
      <c r="K177" s="6">
        <v>1</v>
      </c>
    </row>
    <row r="178" spans="8:11">
      <c r="H178" s="6">
        <v>4</v>
      </c>
      <c r="I178" s="6">
        <v>8</v>
      </c>
      <c r="J178" s="6">
        <v>2</v>
      </c>
      <c r="K178" s="6">
        <v>0</v>
      </c>
    </row>
    <row r="179" spans="8:11">
      <c r="H179" s="6">
        <v>4</v>
      </c>
      <c r="I179" s="6">
        <v>8</v>
      </c>
      <c r="J179" s="6">
        <v>3</v>
      </c>
      <c r="K179" s="6">
        <v>0</v>
      </c>
    </row>
    <row r="180" spans="8:11">
      <c r="H180" s="6">
        <v>4</v>
      </c>
      <c r="I180" s="6">
        <v>8</v>
      </c>
      <c r="J180" s="6">
        <v>4</v>
      </c>
      <c r="K180" s="6">
        <v>0</v>
      </c>
    </row>
    <row r="181" spans="8:11">
      <c r="H181" s="6">
        <v>4</v>
      </c>
      <c r="I181" s="6">
        <v>8</v>
      </c>
      <c r="J181" s="6">
        <v>5</v>
      </c>
      <c r="K181" s="6">
        <v>0</v>
      </c>
    </row>
    <row r="182" spans="8:11">
      <c r="H182" s="6">
        <v>5</v>
      </c>
      <c r="I182" s="6">
        <v>1</v>
      </c>
      <c r="J182" s="6">
        <v>1</v>
      </c>
      <c r="K182" s="6">
        <v>0</v>
      </c>
    </row>
    <row r="183" spans="8:11">
      <c r="H183" s="6">
        <v>5</v>
      </c>
      <c r="I183" s="6">
        <v>1</v>
      </c>
      <c r="J183" s="6">
        <v>2</v>
      </c>
      <c r="K183" s="6">
        <v>0</v>
      </c>
    </row>
    <row r="184" spans="8:11">
      <c r="H184" s="6">
        <v>5</v>
      </c>
      <c r="I184" s="6">
        <v>1</v>
      </c>
      <c r="J184" s="6">
        <v>3</v>
      </c>
      <c r="K184" s="6">
        <v>0</v>
      </c>
    </row>
    <row r="185" spans="8:11">
      <c r="H185" s="6">
        <v>5</v>
      </c>
      <c r="I185" s="6">
        <v>1</v>
      </c>
      <c r="J185" s="6">
        <v>4</v>
      </c>
      <c r="K185" s="6">
        <v>0</v>
      </c>
    </row>
    <row r="186" spans="8:11">
      <c r="H186" s="6">
        <v>5</v>
      </c>
      <c r="I186" s="6">
        <v>1</v>
      </c>
      <c r="J186" s="6">
        <v>5</v>
      </c>
      <c r="K186" s="6">
        <v>0</v>
      </c>
    </row>
    <row r="187" spans="8:11">
      <c r="H187" s="6">
        <v>5</v>
      </c>
      <c r="I187" s="6">
        <v>2</v>
      </c>
      <c r="J187" s="6">
        <v>1</v>
      </c>
      <c r="K187" s="6">
        <v>0</v>
      </c>
    </row>
    <row r="188" spans="8:11">
      <c r="H188" s="6">
        <v>5</v>
      </c>
      <c r="I188" s="6">
        <v>2</v>
      </c>
      <c r="J188" s="6">
        <v>2</v>
      </c>
      <c r="K188" s="6">
        <v>0</v>
      </c>
    </row>
    <row r="189" spans="8:11">
      <c r="H189" s="6">
        <v>5</v>
      </c>
      <c r="I189" s="6">
        <v>2</v>
      </c>
      <c r="J189" s="6">
        <v>3</v>
      </c>
      <c r="K189" s="6">
        <v>0</v>
      </c>
    </row>
    <row r="190" spans="8:11">
      <c r="H190" s="6">
        <v>5</v>
      </c>
      <c r="I190" s="6">
        <v>2</v>
      </c>
      <c r="J190" s="6">
        <v>4</v>
      </c>
      <c r="K190" s="6">
        <v>0</v>
      </c>
    </row>
    <row r="191" spans="8:11">
      <c r="H191" s="6">
        <v>5</v>
      </c>
      <c r="I191" s="6">
        <v>2</v>
      </c>
      <c r="J191" s="6">
        <v>5</v>
      </c>
      <c r="K191" s="6">
        <v>0</v>
      </c>
    </row>
    <row r="192" spans="8:11">
      <c r="H192" s="6">
        <v>5</v>
      </c>
      <c r="I192" s="6">
        <v>3</v>
      </c>
      <c r="J192" s="6">
        <v>1</v>
      </c>
      <c r="K192" s="6">
        <v>0</v>
      </c>
    </row>
    <row r="193" spans="8:11">
      <c r="H193" s="6">
        <v>5</v>
      </c>
      <c r="I193" s="6">
        <v>3</v>
      </c>
      <c r="J193" s="6">
        <v>2</v>
      </c>
      <c r="K193" s="6">
        <v>0</v>
      </c>
    </row>
    <row r="194" spans="8:11">
      <c r="H194" s="6">
        <v>5</v>
      </c>
      <c r="I194" s="6">
        <v>3</v>
      </c>
      <c r="J194" s="6">
        <v>3</v>
      </c>
      <c r="K194" s="6">
        <v>1</v>
      </c>
    </row>
    <row r="195" spans="8:11">
      <c r="H195" s="6">
        <v>5</v>
      </c>
      <c r="I195" s="6">
        <v>3</v>
      </c>
      <c r="J195" s="6">
        <v>4</v>
      </c>
      <c r="K195" s="6">
        <v>0</v>
      </c>
    </row>
    <row r="196" spans="8:11">
      <c r="H196" s="6">
        <v>5</v>
      </c>
      <c r="I196" s="6">
        <v>3</v>
      </c>
      <c r="J196" s="6">
        <v>5</v>
      </c>
      <c r="K196" s="6">
        <v>0</v>
      </c>
    </row>
    <row r="197" spans="8:11">
      <c r="H197" s="6">
        <v>5</v>
      </c>
      <c r="I197" s="6">
        <v>4</v>
      </c>
      <c r="J197" s="6">
        <v>1</v>
      </c>
      <c r="K197" s="6">
        <v>0</v>
      </c>
    </row>
    <row r="198" spans="8:11">
      <c r="H198" s="6">
        <v>5</v>
      </c>
      <c r="I198" s="6">
        <v>4</v>
      </c>
      <c r="J198" s="6">
        <v>2</v>
      </c>
      <c r="K198" s="6">
        <v>1</v>
      </c>
    </row>
    <row r="199" spans="8:11">
      <c r="H199" s="6">
        <v>5</v>
      </c>
      <c r="I199" s="6">
        <v>4</v>
      </c>
      <c r="J199" s="6">
        <v>3</v>
      </c>
      <c r="K199" s="6">
        <v>0</v>
      </c>
    </row>
    <row r="200" spans="8:11">
      <c r="H200" s="6">
        <v>5</v>
      </c>
      <c r="I200" s="6">
        <v>4</v>
      </c>
      <c r="J200" s="6">
        <v>4</v>
      </c>
      <c r="K200" s="6">
        <v>0</v>
      </c>
    </row>
    <row r="201" spans="8:11">
      <c r="H201" s="6">
        <v>5</v>
      </c>
      <c r="I201" s="6">
        <v>4</v>
      </c>
      <c r="J201" s="6">
        <v>5</v>
      </c>
      <c r="K201" s="6">
        <v>0</v>
      </c>
    </row>
    <row r="202" spans="8:11">
      <c r="H202" s="6">
        <v>5</v>
      </c>
      <c r="I202" s="6">
        <v>5</v>
      </c>
      <c r="J202" s="6">
        <v>1</v>
      </c>
      <c r="K202" s="6">
        <v>0</v>
      </c>
    </row>
    <row r="203" spans="8:11">
      <c r="H203" s="6">
        <v>5</v>
      </c>
      <c r="I203" s="6">
        <v>5</v>
      </c>
      <c r="J203" s="6">
        <v>2</v>
      </c>
      <c r="K203" s="6">
        <v>0</v>
      </c>
    </row>
    <row r="204" spans="8:11">
      <c r="H204" s="6">
        <v>5</v>
      </c>
      <c r="I204" s="6">
        <v>5</v>
      </c>
      <c r="J204" s="6">
        <v>3</v>
      </c>
      <c r="K204" s="6">
        <v>0</v>
      </c>
    </row>
    <row r="205" spans="8:11">
      <c r="H205" s="6">
        <v>5</v>
      </c>
      <c r="I205" s="6">
        <v>5</v>
      </c>
      <c r="J205" s="6">
        <v>4</v>
      </c>
      <c r="K205" s="6">
        <v>0</v>
      </c>
    </row>
    <row r="206" spans="8:11">
      <c r="H206" s="6">
        <v>5</v>
      </c>
      <c r="I206" s="6">
        <v>5</v>
      </c>
      <c r="J206" s="6">
        <v>5</v>
      </c>
      <c r="K206" s="6">
        <v>0</v>
      </c>
    </row>
    <row r="207" spans="8:11">
      <c r="H207" s="6">
        <v>5</v>
      </c>
      <c r="I207" s="6">
        <v>6</v>
      </c>
      <c r="J207" s="6">
        <v>1</v>
      </c>
      <c r="K207" s="6">
        <v>0</v>
      </c>
    </row>
    <row r="208" spans="8:11">
      <c r="H208" s="6">
        <v>5</v>
      </c>
      <c r="I208" s="6">
        <v>6</v>
      </c>
      <c r="J208" s="6">
        <v>2</v>
      </c>
      <c r="K208" s="6">
        <v>0</v>
      </c>
    </row>
    <row r="209" spans="8:11">
      <c r="H209" s="6">
        <v>5</v>
      </c>
      <c r="I209" s="6">
        <v>6</v>
      </c>
      <c r="J209" s="6">
        <v>3</v>
      </c>
      <c r="K209" s="6">
        <v>0</v>
      </c>
    </row>
    <row r="210" spans="8:11">
      <c r="H210" s="6">
        <v>5</v>
      </c>
      <c r="I210" s="6">
        <v>6</v>
      </c>
      <c r="J210" s="6">
        <v>4</v>
      </c>
      <c r="K210" s="6">
        <v>0</v>
      </c>
    </row>
    <row r="211" spans="8:11">
      <c r="H211" s="6">
        <v>5</v>
      </c>
      <c r="I211" s="6">
        <v>6</v>
      </c>
      <c r="J211" s="6">
        <v>5</v>
      </c>
      <c r="K211" s="6">
        <v>0</v>
      </c>
    </row>
    <row r="212" spans="8:11">
      <c r="H212" s="6">
        <v>5</v>
      </c>
      <c r="I212" s="6">
        <v>7</v>
      </c>
      <c r="J212" s="6">
        <v>1</v>
      </c>
      <c r="K212" s="6">
        <v>0</v>
      </c>
    </row>
    <row r="213" spans="8:11">
      <c r="H213" s="6">
        <v>5</v>
      </c>
      <c r="I213" s="6">
        <v>7</v>
      </c>
      <c r="J213" s="6">
        <v>2</v>
      </c>
      <c r="K213" s="6">
        <v>0</v>
      </c>
    </row>
    <row r="214" spans="8:11">
      <c r="H214" s="6">
        <v>5</v>
      </c>
      <c r="I214" s="6">
        <v>7</v>
      </c>
      <c r="J214" s="6">
        <v>3</v>
      </c>
      <c r="K214" s="6">
        <v>1</v>
      </c>
    </row>
    <row r="215" spans="8:11">
      <c r="H215" s="6">
        <v>5</v>
      </c>
      <c r="I215" s="6">
        <v>7</v>
      </c>
      <c r="J215" s="6">
        <v>4</v>
      </c>
      <c r="K215" s="6">
        <v>0</v>
      </c>
    </row>
    <row r="216" spans="8:11">
      <c r="H216" s="6">
        <v>5</v>
      </c>
      <c r="I216" s="6">
        <v>7</v>
      </c>
      <c r="J216" s="6">
        <v>5</v>
      </c>
      <c r="K216" s="6">
        <v>0</v>
      </c>
    </row>
    <row r="217" spans="8:11">
      <c r="H217" s="6">
        <v>5</v>
      </c>
      <c r="I217" s="6">
        <v>8</v>
      </c>
      <c r="J217" s="6">
        <v>1</v>
      </c>
      <c r="K217" s="6">
        <v>0</v>
      </c>
    </row>
    <row r="218" spans="8:11">
      <c r="H218" s="6">
        <v>5</v>
      </c>
      <c r="I218" s="6">
        <v>8</v>
      </c>
      <c r="J218" s="6">
        <v>2</v>
      </c>
      <c r="K218" s="6">
        <v>0</v>
      </c>
    </row>
    <row r="219" spans="8:11">
      <c r="H219" s="6">
        <v>5</v>
      </c>
      <c r="I219" s="6">
        <v>8</v>
      </c>
      <c r="J219" s="6">
        <v>3</v>
      </c>
      <c r="K219" s="6">
        <v>0</v>
      </c>
    </row>
    <row r="220" spans="8:11">
      <c r="H220" s="6">
        <v>5</v>
      </c>
      <c r="I220" s="6">
        <v>8</v>
      </c>
      <c r="J220" s="6">
        <v>4</v>
      </c>
      <c r="K220" s="6">
        <v>0</v>
      </c>
    </row>
    <row r="221" spans="8:11">
      <c r="H221" s="6">
        <v>5</v>
      </c>
      <c r="I221" s="6">
        <v>8</v>
      </c>
      <c r="J221" s="6">
        <v>5</v>
      </c>
      <c r="K221" s="6">
        <v>0</v>
      </c>
    </row>
  </sheetData>
  <mergeCells count="1">
    <mergeCell ref="M31:Q31"/>
  </mergeCells>
  <phoneticPr fontId="2" type="noConversion"/>
  <pageMargins left="0.7" right="0.7" top="0.75" bottom="0.75" header="0.3" footer="0.3"/>
  <pageSetup paperSize="9" orientation="portrait" horizontalDpi="4294967294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Fogli di lavoro</vt:lpstr>
      </vt:variant>
      <vt:variant>
        <vt:i4>1</vt:i4>
      </vt:variant>
      <vt:variant>
        <vt:lpstr>Macro di Excel 4.0</vt:lpstr>
      </vt:variant>
      <vt:variant>
        <vt:i4>1</vt:i4>
      </vt:variant>
      <vt:variant>
        <vt:lpstr>Intervalli denominati</vt:lpstr>
      </vt:variant>
      <vt:variant>
        <vt:i4>94</vt:i4>
      </vt:variant>
    </vt:vector>
  </HeadingPairs>
  <TitlesOfParts>
    <vt:vector size="96" baseType="lpstr">
      <vt:lpstr>Foglio1</vt:lpstr>
      <vt:lpstr>Macro2</vt:lpstr>
      <vt:lpstr>alpha</vt:lpstr>
      <vt:lpstr>attivazione</vt:lpstr>
      <vt:lpstr>attivazione2</vt:lpstr>
      <vt:lpstr>betafs</vt:lpstr>
      <vt:lpstr>cA</vt:lpstr>
      <vt:lpstr>cap</vt:lpstr>
      <vt:lpstr>cap5Pr</vt:lpstr>
      <vt:lpstr>capac2</vt:lpstr>
      <vt:lpstr>capac25Pr</vt:lpstr>
      <vt:lpstr>CapacityD</vt:lpstr>
      <vt:lpstr>CapacityD1</vt:lpstr>
      <vt:lpstr>CapacityD2</vt:lpstr>
      <vt:lpstr>CapacityD3</vt:lpstr>
      <vt:lpstr>CapacityD4</vt:lpstr>
      <vt:lpstr>CapacityD5</vt:lpstr>
      <vt:lpstr>CapacityLinks</vt:lpstr>
      <vt:lpstr>chi</vt:lpstr>
      <vt:lpstr>cI</vt:lpstr>
      <vt:lpstr>cL</vt:lpstr>
      <vt:lpstr>cP</vt:lpstr>
      <vt:lpstr>cs</vt:lpstr>
      <vt:lpstr>cVM</vt:lpstr>
      <vt:lpstr>Delay</vt:lpstr>
      <vt:lpstr>Delay2</vt:lpstr>
      <vt:lpstr>Delay5</vt:lpstr>
      <vt:lpstr>EnergyConsumption</vt:lpstr>
      <vt:lpstr>f.o.m4</vt:lpstr>
      <vt:lpstr>f.o.m5</vt:lpstr>
      <vt:lpstr>f.o.p3</vt:lpstr>
      <vt:lpstr>f.o.p4</vt:lpstr>
      <vt:lpstr>f.o.p5</vt:lpstr>
      <vt:lpstr>FO</vt:lpstr>
      <vt:lpstr>foalpha</vt:lpstr>
      <vt:lpstr>fonalpha</vt:lpstr>
      <vt:lpstr>Fss</vt:lpstr>
      <vt:lpstr>funct</vt:lpstr>
      <vt:lpstr>gamma</vt:lpstr>
      <vt:lpstr>gammaB</vt:lpstr>
      <vt:lpstr>lambda</vt:lpstr>
      <vt:lpstr>lambdaB</vt:lpstr>
      <vt:lpstr>Links</vt:lpstr>
      <vt:lpstr>Linkss</vt:lpstr>
      <vt:lpstr>Lungh</vt:lpstr>
      <vt:lpstr>Lungh0</vt:lpstr>
      <vt:lpstr>Memory</vt:lpstr>
      <vt:lpstr>MemoryF</vt:lpstr>
      <vt:lpstr>NumChains</vt:lpstr>
      <vt:lpstr>NumServers</vt:lpstr>
      <vt:lpstr>pas</vt:lpstr>
      <vt:lpstr>pf</vt:lpstr>
      <vt:lpstr>pfs</vt:lpstr>
      <vt:lpstr>pis</vt:lpstr>
      <vt:lpstr>pos</vt:lpstr>
      <vt:lpstr>PowerVM</vt:lpstr>
      <vt:lpstr>PsiMu2</vt:lpstr>
      <vt:lpstr>PsiMu3</vt:lpstr>
      <vt:lpstr>pVM</vt:lpstr>
      <vt:lpstr>ResultsX</vt:lpstr>
      <vt:lpstr>resultsx1</vt:lpstr>
      <vt:lpstr>resultsx2</vt:lpstr>
      <vt:lpstr>resultsx3</vt:lpstr>
      <vt:lpstr>ResultsXf</vt:lpstr>
      <vt:lpstr>ResultsY</vt:lpstr>
      <vt:lpstr>resultsy1</vt:lpstr>
      <vt:lpstr>ResultsYk</vt:lpstr>
      <vt:lpstr>ResultsZ</vt:lpstr>
      <vt:lpstr>ResultsZfs</vt:lpstr>
      <vt:lpstr>resuly1</vt:lpstr>
      <vt:lpstr>resuly3</vt:lpstr>
      <vt:lpstr>resy1</vt:lpstr>
      <vt:lpstr>resy2</vt:lpstr>
      <vt:lpstr>resy3</vt:lpstr>
      <vt:lpstr>Rmax</vt:lpstr>
      <vt:lpstr>Rprop</vt:lpstr>
      <vt:lpstr>sigma</vt:lpstr>
      <vt:lpstr>Status</vt:lpstr>
      <vt:lpstr>trasm</vt:lpstr>
      <vt:lpstr>trasm3</vt:lpstr>
      <vt:lpstr>ultima</vt:lpstr>
      <vt:lpstr>ultima2</vt:lpstr>
      <vt:lpstr>ultima3</vt:lpstr>
      <vt:lpstr>ultima4</vt:lpstr>
      <vt:lpstr>ultima5</vt:lpstr>
      <vt:lpstr>Wei</vt:lpstr>
      <vt:lpstr>Weig2</vt:lpstr>
      <vt:lpstr>Weig25Pr</vt:lpstr>
      <vt:lpstr>WeiPr5</vt:lpstr>
      <vt:lpstr>wss</vt:lpstr>
      <vt:lpstr>x15Pr</vt:lpstr>
      <vt:lpstr>x25Pr</vt:lpstr>
      <vt:lpstr>xres5Pr</vt:lpstr>
      <vt:lpstr>YMemory</vt:lpstr>
      <vt:lpstr>Zforzata</vt:lpstr>
      <vt:lpstr>Zmemory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Gabriella</dc:creator>
  <cp:lastModifiedBy>Administrator</cp:lastModifiedBy>
  <dcterms:created xsi:type="dcterms:W3CDTF">2018-12-09T09:51:05Z</dcterms:created>
  <dcterms:modified xsi:type="dcterms:W3CDTF">2021-03-10T11:26:24Z</dcterms:modified>
</cp:coreProperties>
</file>